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23E54D55-73D5-4F0E-A56C-CE738C9634BD}" xr6:coauthVersionLast="47" xr6:coauthVersionMax="47" xr10:uidLastSave="{00000000-0000-0000-0000-000000000000}"/>
  <bookViews>
    <workbookView xWindow="-120" yWindow="-120" windowWidth="20730" windowHeight="11160" firstSheet="1" activeTab="7" xr2:uid="{5D0B8DB7-F2F3-447E-851C-317C1E523CC9}"/>
  </bookViews>
  <sheets>
    <sheet name="All_India_Index_Upto_April23  V" sheetId="1" r:id="rId1"/>
    <sheet name="main data" sheetId="2" r:id="rId2"/>
    <sheet name="analysis 1" sheetId="3" r:id="rId3"/>
    <sheet name="analysis 2" sheetId="4" r:id="rId4"/>
    <sheet name="analysis 3" sheetId="5" r:id="rId5"/>
    <sheet name="analysis 4" sheetId="6" r:id="rId6"/>
    <sheet name="analysis 5" sheetId="7" r:id="rId7"/>
    <sheet name="Final analysis" sheetId="8" r:id="rId8"/>
  </sheets>
  <definedNames>
    <definedName name="_xlnm._FilterDatabase" localSheetId="1" hidden="1">'main data'!$A$1:$AD$373</definedName>
    <definedName name="_xlchart.v1.0" hidden="1">'analysis 3'!$E$38:$Q$38</definedName>
    <definedName name="_xlchart.v1.1" hidden="1">'analysis 3'!$E$39:$Q$39</definedName>
    <definedName name="_xlchart.v1.2" hidden="1">'analysis 3'!$D$69:$D$79</definedName>
    <definedName name="_xlchart.v1.3" hidden="1">'analysis 3'!$F$69:$F$79</definedName>
    <definedName name="_xlchart.v1.4" hidden="1">'analysis 3'!$E$38:$Q$38</definedName>
    <definedName name="_xlchart.v1.5" hidden="1">'analysis 3'!$E$39:$Q$39</definedName>
    <definedName name="_xlchart.v1.6" hidden="1">'analysis 3'!$D$69:$D$79</definedName>
    <definedName name="_xlchart.v1.7" hidden="1">'analysis 3'!$F$69:$F$79</definedName>
  </definedNames>
  <calcPr calcId="191029"/>
</workbook>
</file>

<file path=xl/calcChain.xml><?xml version="1.0" encoding="utf-8"?>
<calcChain xmlns="http://schemas.openxmlformats.org/spreadsheetml/2006/main">
  <c r="M33" i="7" l="1"/>
  <c r="N33" i="7"/>
  <c r="O33" i="7"/>
  <c r="P33" i="7"/>
  <c r="Q33" i="7"/>
  <c r="R33" i="7"/>
  <c r="S33" i="7"/>
  <c r="T33" i="7"/>
  <c r="U33" i="7"/>
  <c r="V33" i="7"/>
  <c r="W33" i="7"/>
  <c r="X33" i="7"/>
  <c r="Y33" i="7"/>
  <c r="Z33" i="7"/>
  <c r="AA33" i="7"/>
  <c r="AB33" i="7"/>
  <c r="AC33" i="7"/>
  <c r="AD33" i="7"/>
  <c r="AE33" i="7"/>
  <c r="AF33" i="7"/>
  <c r="L33" i="7"/>
  <c r="M32" i="7"/>
  <c r="N32" i="7"/>
  <c r="O32" i="7"/>
  <c r="P32" i="7"/>
  <c r="Q32" i="7"/>
  <c r="R32" i="7"/>
  <c r="S32" i="7"/>
  <c r="T32" i="7"/>
  <c r="U32" i="7"/>
  <c r="V32" i="7"/>
  <c r="W32" i="7"/>
  <c r="X32" i="7"/>
  <c r="Y32" i="7"/>
  <c r="Z32" i="7"/>
  <c r="AA32" i="7"/>
  <c r="AB32" i="7"/>
  <c r="AC32" i="7"/>
  <c r="AD32" i="7"/>
  <c r="AE32" i="7"/>
  <c r="AF32" i="7"/>
  <c r="AG32" i="7"/>
  <c r="AH32" i="7"/>
  <c r="AI32" i="7"/>
  <c r="AJ32" i="7"/>
  <c r="AK32" i="7"/>
  <c r="AL32" i="7"/>
  <c r="L32" i="7"/>
  <c r="M31" i="7"/>
  <c r="N31" i="7"/>
  <c r="O31" i="7"/>
  <c r="P31" i="7"/>
  <c r="Q31" i="7"/>
  <c r="R31" i="7"/>
  <c r="S31" i="7"/>
  <c r="T31" i="7"/>
  <c r="U31" i="7"/>
  <c r="V31" i="7"/>
  <c r="W31" i="7"/>
  <c r="X31" i="7"/>
  <c r="Y31" i="7"/>
  <c r="Z31" i="7"/>
  <c r="AA31" i="7"/>
  <c r="AB31" i="7"/>
  <c r="AC31" i="7"/>
  <c r="AD31" i="7"/>
  <c r="AE31" i="7"/>
  <c r="AF31" i="7"/>
  <c r="AG31" i="7"/>
  <c r="AH31" i="7"/>
  <c r="AI31" i="7"/>
  <c r="AJ31" i="7"/>
  <c r="AK31" i="7"/>
  <c r="AL31" i="7"/>
  <c r="L31" i="7"/>
  <c r="M30" i="7"/>
  <c r="N30" i="7"/>
  <c r="O30" i="7"/>
  <c r="P30" i="7"/>
  <c r="Q30" i="7"/>
  <c r="R30" i="7"/>
  <c r="S30" i="7"/>
  <c r="T30" i="7"/>
  <c r="U30" i="7"/>
  <c r="V30" i="7"/>
  <c r="W30" i="7"/>
  <c r="X30" i="7"/>
  <c r="Y30" i="7"/>
  <c r="Z30" i="7"/>
  <c r="AA30" i="7"/>
  <c r="AB30" i="7"/>
  <c r="AC30" i="7"/>
  <c r="AD30" i="7"/>
  <c r="AE30" i="7"/>
  <c r="AF30" i="7"/>
  <c r="AG30" i="7"/>
  <c r="AH30" i="7"/>
  <c r="AI30" i="7"/>
  <c r="AJ30" i="7"/>
  <c r="AK30" i="7"/>
  <c r="AL30" i="7"/>
  <c r="L30" i="7"/>
  <c r="Q29" i="7"/>
  <c r="R29" i="7"/>
  <c r="S29" i="7"/>
  <c r="T29" i="7"/>
  <c r="U29" i="7"/>
  <c r="V29" i="7"/>
  <c r="W29" i="7"/>
  <c r="X29" i="7"/>
  <c r="Y29" i="7"/>
  <c r="Z29" i="7"/>
  <c r="AA29" i="7"/>
  <c r="AB29" i="7"/>
  <c r="AC29" i="7"/>
  <c r="AD29" i="7"/>
  <c r="AE29" i="7"/>
  <c r="AF29" i="7"/>
  <c r="AG29" i="7"/>
  <c r="AH29" i="7"/>
  <c r="AI29" i="7"/>
  <c r="AJ29" i="7"/>
  <c r="AK29" i="7"/>
  <c r="AL29" i="7"/>
  <c r="P29" i="7"/>
  <c r="O29" i="7"/>
  <c r="N29" i="7"/>
  <c r="M29" i="7"/>
  <c r="L29" i="7"/>
  <c r="Q6" i="6"/>
  <c r="Q5" i="6"/>
  <c r="Q4" i="6"/>
  <c r="Q3" i="6"/>
  <c r="P6" i="6"/>
  <c r="P5" i="6"/>
  <c r="P4" i="6"/>
  <c r="P3" i="6"/>
  <c r="O6" i="6"/>
  <c r="O5" i="6"/>
  <c r="O4" i="6"/>
  <c r="O3" i="6"/>
  <c r="F69" i="5"/>
  <c r="F70" i="5"/>
  <c r="F71" i="5"/>
  <c r="F72" i="5"/>
  <c r="F73" i="5"/>
  <c r="F74" i="5"/>
  <c r="F75" i="5"/>
  <c r="F76" i="5"/>
  <c r="F77" i="5"/>
  <c r="F78" i="5"/>
  <c r="F79" i="5"/>
  <c r="F68" i="5"/>
  <c r="D69" i="5"/>
  <c r="D70" i="5"/>
  <c r="D71" i="5"/>
  <c r="D72" i="5"/>
  <c r="D73" i="5"/>
  <c r="D74" i="5"/>
  <c r="D75" i="5"/>
  <c r="D76" i="5"/>
  <c r="D77" i="5"/>
  <c r="D78" i="5"/>
  <c r="D79" i="5"/>
  <c r="D68" i="5"/>
  <c r="E22" i="5"/>
  <c r="F22" i="5"/>
  <c r="Q22" i="5"/>
  <c r="P22" i="5"/>
  <c r="O22" i="5"/>
  <c r="N22" i="5"/>
  <c r="M22" i="5"/>
  <c r="L22" i="5"/>
  <c r="K22" i="5"/>
  <c r="J22" i="5"/>
  <c r="I22" i="5"/>
  <c r="H22" i="5"/>
  <c r="G22" i="5"/>
  <c r="F10" i="4"/>
  <c r="F9" i="4"/>
  <c r="F8" i="4"/>
  <c r="F7" i="4"/>
  <c r="F6" i="4"/>
  <c r="F5" i="4"/>
  <c r="G39" i="5" l="1"/>
  <c r="I39" i="5"/>
  <c r="J39" i="5"/>
  <c r="K39" i="5"/>
  <c r="M39" i="5"/>
  <c r="N39" i="5"/>
  <c r="P39" i="5"/>
  <c r="Q39" i="5"/>
  <c r="F39" i="5"/>
  <c r="H39" i="5"/>
  <c r="L39" i="5"/>
  <c r="O39" i="5"/>
  <c r="AH2" i="2"/>
  <c r="AG2" i="2"/>
  <c r="AF2" i="2"/>
  <c r="AE2" i="2"/>
</calcChain>
</file>

<file path=xl/sharedStrings.xml><?xml version="1.0" encoding="utf-8"?>
<sst xmlns="http://schemas.openxmlformats.org/spreadsheetml/2006/main" count="2371" uniqueCount="123">
  <si>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</si>
  <si>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</si>
  <si>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</si>
  <si>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</si>
  <si>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</si>
  <si>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</si>
  <si>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</si>
  <si>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</si>
  <si>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</si>
  <si>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</si>
  <si>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</si>
  <si>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</si>
  <si>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</si>
  <si>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</si>
  <si>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</si>
  <si>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</si>
  <si>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</si>
  <si>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</si>
  <si>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</si>
  <si>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</si>
  <si>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</si>
  <si>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</si>
  <si>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</si>
  <si>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</si>
  <si>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</si>
  <si>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</si>
  <si>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</si>
  <si>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</si>
  <si>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</si>
  <si>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</si>
  <si>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</si>
  <si>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</si>
  <si>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</si>
  <si>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</si>
  <si>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</si>
  <si>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</si>
  <si>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</si>
  <si>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</si>
  <si>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</si>
  <si>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</si>
  <si>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</si>
  <si>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</si>
  <si>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</si>
  <si>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</si>
  <si>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</si>
  <si>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</si>
  <si>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</si>
  <si>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</si>
  <si>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</si>
  <si>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Food</t>
  </si>
  <si>
    <t>Luxury</t>
  </si>
  <si>
    <t>Clothing data</t>
  </si>
  <si>
    <t>Housing data</t>
  </si>
  <si>
    <t>Pan and tabacoo</t>
  </si>
  <si>
    <t>Transport and Communication</t>
  </si>
  <si>
    <t>Miscelleaneous</t>
  </si>
  <si>
    <t>year</t>
  </si>
  <si>
    <t>Genral Index</t>
  </si>
  <si>
    <t>start</t>
  </si>
  <si>
    <t>end</t>
  </si>
  <si>
    <t>I take here calander year</t>
  </si>
  <si>
    <t>Total</t>
  </si>
  <si>
    <t>Date -2018-2019</t>
  </si>
  <si>
    <t>Essential Services</t>
  </si>
  <si>
    <t>Essential service includes Housing,Fuel&amp;light,transport and Communication, Education,Miscelleaneous</t>
  </si>
  <si>
    <t>Date -2019-2020</t>
  </si>
  <si>
    <t>food</t>
  </si>
  <si>
    <t>Date -2020-2021</t>
  </si>
  <si>
    <t>Date -2021-2022</t>
  </si>
  <si>
    <t>Inflation Rate of Food</t>
  </si>
  <si>
    <t>Inflation Rate of Health</t>
  </si>
  <si>
    <t>Inflation Rate of Essential Services</t>
  </si>
  <si>
    <t xml:space="preserve"> </t>
  </si>
  <si>
    <t>Date</t>
  </si>
  <si>
    <t>2022May</t>
  </si>
  <si>
    <t>inflation in food</t>
  </si>
  <si>
    <t>Spices is biggest  individual  category</t>
  </si>
  <si>
    <t>Oct 2022 and May 2023 highest food inflation</t>
  </si>
  <si>
    <t>Oil Import in Crore</t>
  </si>
  <si>
    <t>Total Imports in Rupees</t>
  </si>
  <si>
    <t>FOB Price</t>
  </si>
  <si>
    <t>Oil Import in Dollars</t>
  </si>
  <si>
    <t>Total Imports in USD</t>
  </si>
  <si>
    <t xml:space="preserve">  </t>
  </si>
  <si>
    <t>Correlation with Amount</t>
  </si>
  <si>
    <t xml:space="preserve">Correlation with Total Amount </t>
  </si>
  <si>
    <t>Correlation with FOB</t>
  </si>
  <si>
    <t>Correlation with Amount(USD)</t>
  </si>
  <si>
    <t>Correlation with Total Amount(USD)</t>
  </si>
  <si>
    <t>Food category has the highest contribution in the CPI basket</t>
  </si>
  <si>
    <t>Food category has almost 50% of CPI</t>
  </si>
  <si>
    <t>The heighest year on year growth rate observed in 2019</t>
  </si>
  <si>
    <t>March 20 is pivot point here</t>
  </si>
  <si>
    <t>2018-2019,2019-2020 Pre Covid</t>
  </si>
  <si>
    <t>2020-2021,2021-2022 Post Covid</t>
  </si>
  <si>
    <t>Several factors in 2019 contributed to inflation in India. Here are the main events and influences:</t>
  </si>
  <si>
    <t>The 2019 monsoon season was delayed and erratic, which affected agricultural production. Poor monsoon distribution and excessive rains during the harvest period damaged crops, leading to a supply shortage. This increased the prices of vegetables and other food items.</t>
  </si>
  <si>
    <t>Vegetables, particularly onions, experienced significant price increases. Onion prices surged due to crop damage from heavy rains and floods in key producing states like Maharashtra, Karnataka, and Madhya Pradesh. Food inflation is a major component of overall inflation in India.</t>
  </si>
  <si>
    <t>Global crude oil prices remained volatile in 2019 due to geopolitical tensions, including conflicts in the Middle East and sanctions on Iran. As India is heavily dependent on oil imports, fluctuations in global oil prices directly impacted domestic fuel prices, contributing to inflation.</t>
  </si>
  <si>
    <t>The Indian Rupee experienced depreciation against the US Dollar in 2019. A weaker rupee made imports more expensive, contributing to higher prices for imported goods and commodities, including crude oil.</t>
  </si>
  <si>
    <r>
      <t>1.Monsoon and Agricultural Production</t>
    </r>
    <r>
      <rPr>
        <sz val="11"/>
        <color theme="1"/>
        <rFont val="Calibri"/>
        <family val="2"/>
        <scheme val="minor"/>
      </rPr>
      <t>:</t>
    </r>
  </si>
  <si>
    <r>
      <t>2.Food Prices</t>
    </r>
    <r>
      <rPr>
        <sz val="11"/>
        <color theme="1"/>
        <rFont val="Calibri"/>
        <family val="2"/>
        <scheme val="minor"/>
      </rPr>
      <t>:</t>
    </r>
  </si>
  <si>
    <r>
      <t>3.Global Crude Oil Prices</t>
    </r>
    <r>
      <rPr>
        <sz val="11"/>
        <color theme="1"/>
        <rFont val="Calibri"/>
        <family val="2"/>
        <scheme val="minor"/>
      </rPr>
      <t>:</t>
    </r>
  </si>
  <si>
    <r>
      <t>4.Currency Depreciation</t>
    </r>
    <r>
      <rPr>
        <sz val="11"/>
        <color theme="1"/>
        <rFont val="Calibri"/>
        <family val="2"/>
        <scheme val="minor"/>
      </rPr>
      <t>:</t>
    </r>
  </si>
  <si>
    <t>Certain sectors experienced a mismatch between demand and supply, further contributing to price rises. For example, the automobile sector saw a slowdown in sales, but the cost of raw materials and components increased.</t>
  </si>
  <si>
    <t>Various government policies and economic measures also had indirect effects on inflation. The implementation of the Goods and Services Tax (GST) continued to impact pricing structures, although its direct effect on inflation was mixed.</t>
  </si>
  <si>
    <t>The global economic slowdown impacted India's exports and overall economic activity. Although this generally would have a dampening effect on inflation, sector-specific supply constraints and domestic factors kept inflationary pressures high.</t>
  </si>
  <si>
    <t>Core inflation (excluding food and fuel) remained relatively stable but was influenced by rising prices in sectors like healthcare, education, and personal care.</t>
  </si>
  <si>
    <r>
      <t>5.Demand-Supply Mismatch</t>
    </r>
    <r>
      <rPr>
        <sz val="11"/>
        <color theme="1"/>
        <rFont val="Calibri"/>
        <family val="2"/>
        <scheme val="minor"/>
      </rPr>
      <t>:</t>
    </r>
  </si>
  <si>
    <r>
      <t>6.Government Policies</t>
    </r>
    <r>
      <rPr>
        <sz val="11"/>
        <color theme="1"/>
        <rFont val="Calibri"/>
        <family val="2"/>
        <scheme val="minor"/>
      </rPr>
      <t>:</t>
    </r>
  </si>
  <si>
    <r>
      <t>7.Global Economic Conditions</t>
    </r>
    <r>
      <rPr>
        <sz val="11"/>
        <color theme="1"/>
        <rFont val="Calibri"/>
        <family val="2"/>
        <scheme val="minor"/>
      </rPr>
      <t>:</t>
    </r>
  </si>
  <si>
    <r>
      <t>8.Core Inflation</t>
    </r>
    <r>
      <rPr>
        <sz val="11"/>
        <color theme="1"/>
        <rFont val="Calibri"/>
        <family val="2"/>
        <scheme val="minor"/>
      </rPr>
      <t>:</t>
    </r>
  </si>
  <si>
    <t>meat and fish ,oils and fat has increase strongly</t>
  </si>
  <si>
    <t>eggs has decrease strongly</t>
  </si>
  <si>
    <t xml:space="preserve">Dec 2022 and Feb 2023 lowest inflation </t>
  </si>
  <si>
    <t>Pre-March 2020 (2018-2019 to 2019-2020):</t>
  </si>
  <si>
    <t>Food Inflation:Food inflation increased significantly, indicating rising food prices before the pandemic.</t>
  </si>
  <si>
    <t>Health Inflation:Health inflation saw a notable decrease, suggesting improvements or stability in healthcare costs before the pandemic.</t>
  </si>
  <si>
    <t>Essential Services Inflation:Inflation for essential services decreased slightly, showing a moderate reduction in the cost of essential services.</t>
  </si>
  <si>
    <t>Post-March 2020 (2020-2021 to 2021-2022):</t>
  </si>
  <si>
    <t>Food Inflation Food inflation remained high post-pandemic, reflecting persistent issues in food supply chains and possibly increased demand.</t>
  </si>
  <si>
    <t>Health Inflation:Health inflation surged post-pandemic, likely due to increased healthcare demand and costs related to the pandemic.</t>
  </si>
  <si>
    <t>Essential Services Inflation:Inflation for essential services spiked dramatically in 2020-2021, possibly due to pandemic-related disruptions, but then returned to a more moderate level in 2021-2022.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</si>
</sst>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7"/>
        <bgColor indexed="64"/>
      </patternFill>
    </fill>
    <fill>
      <patternFill patternType="solid">
        <fgColor theme="9"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dotted">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0" fillId="33" borderId="0" xfId="0" applyFill="1"/>
    <xf numFmtId="2" fontId="0" fillId="0" borderId="0" xfId="0" applyNumberFormat="1"/>
    <xf numFmtId="0" fontId="0" fillId="0" borderId="0" xfId="0" applyAlignment="1">
      <alignment horizontal="center"/>
    </xf>
    <xf numFmtId="2" fontId="0" fillId="33" borderId="0" xfId="0" applyNumberFormat="1" applyFill="1"/>
    <xf numFmtId="0" fontId="16" fillId="0" borderId="0" xfId="0" applyFont="1"/>
    <xf numFmtId="164" fontId="0" fillId="0" borderId="0" xfId="0" applyNumberFormat="1"/>
    <xf numFmtId="1" fontId="0" fillId="0" borderId="0" xfId="0" applyNumberFormat="1"/>
    <xf numFmtId="4" fontId="0" fillId="0" borderId="0" xfId="0" applyNumberFormat="1"/>
    <xf numFmtId="0" fontId="0" fillId="34" borderId="0" xfId="0" applyFill="1"/>
    <xf numFmtId="0" fontId="0" fillId="0" borderId="0" xfId="0" applyAlignment="1">
      <alignment horizontal="left" vertical="center" indent="1"/>
    </xf>
    <xf numFmtId="0" fontId="16" fillId="0" borderId="0" xfId="0" applyFont="1" applyAlignment="1">
      <alignment horizontal="left"/>
    </xf>
    <xf numFmtId="0" fontId="0" fillId="0" borderId="0" xfId="0" applyAlignment="1">
      <alignment vertical="center"/>
    </xf>
    <xf numFmtId="0" fontId="0" fillId="0" borderId="0" xfId="0" applyAlignment="1">
      <alignment horizontal="left"/>
    </xf>
    <xf numFmtId="0" fontId="0" fillId="35" borderId="0" xfId="0" applyFill="1"/>
    <xf numFmtId="0" fontId="0" fillId="33" borderId="0" xfId="0" applyFill="1" applyAlignment="1">
      <alignment horizontal="center"/>
    </xf>
    <xf numFmtId="0" fontId="0" fillId="34" borderId="0" xfId="0" applyFill="1" applyAlignment="1">
      <alignment horizontal="center"/>
    </xf>
    <xf numFmtId="0" fontId="16" fillId="0" borderId="0" xfId="0" applyFont="1" applyAlignment="1">
      <alignment horizontal="center"/>
    </xf>
    <xf numFmtId="0" fontId="0" fillId="0" borderId="0" xfId="0" applyAlignment="1">
      <alignment horizontal="left" vertical="center"/>
    </xf>
    <xf numFmtId="0" fontId="16" fillId="0" borderId="0" xfId="0" applyFont="1" applyAlignment="1">
      <alignment horizontal="left"/>
    </xf>
    <xf numFmtId="0" fontId="0" fillId="0" borderId="0" xfId="0" applyAlignment="1">
      <alignment horizontal="center" vertical="center"/>
    </xf>
    <xf numFmtId="0" fontId="0" fillId="0" borderId="0" xfId="0" applyAlignment="1">
      <alignment horizontal="center"/>
    </xf>
    <xf numFmtId="0" fontId="16" fillId="36" borderId="10" xfId="0" applyFont="1" applyFill="1" applyBorder="1" applyAlignment="1">
      <alignment horizontal="center"/>
    </xf>
    <xf numFmtId="0" fontId="16" fillId="36"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25920562664042002"/>
          <c:y val="2.15749730312837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'analysis 1'!$A$2:$C$2</c:f>
              <c:strCache>
                <c:ptCount val="3"/>
                <c:pt idx="0">
                  <c:v>Rural</c:v>
                </c:pt>
                <c:pt idx="1">
                  <c:v>2023</c:v>
                </c:pt>
                <c:pt idx="2">
                  <c:v>May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DF-4924-BBBE-427F570170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DF-4924-BBBE-427F570170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DF-4924-BBBE-427F570170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3DF-4924-BBBE-427F5701705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3DF-4924-BBBE-427F5701705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3DF-4924-BBBE-427F5701705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3DF-4924-BBBE-427F5701705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3DF-4924-BBBE-427F5701705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3DF-4924-BBBE-427F5701705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3DF-4924-BBBE-427F570170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'analysis 1'!$D$1:$M$1</c:f>
              <c:strCache>
                <c:ptCount val="10"/>
                <c:pt idx="0">
                  <c:v>Food</c:v>
                </c:pt>
                <c:pt idx="1">
                  <c:v>Luxury</c:v>
                </c:pt>
                <c:pt idx="2">
                  <c:v>Clothing data</c:v>
                </c:pt>
                <c:pt idx="3">
                  <c:v>Housing data</c:v>
                </c:pt>
                <c:pt idx="4">
                  <c:v>Pan and tabacoo</c:v>
                </c:pt>
                <c:pt idx="5">
                  <c:v>Fuel and light</c:v>
                </c:pt>
                <c:pt idx="6">
                  <c:v>Health</c:v>
                </c:pt>
                <c:pt idx="7">
                  <c:v>Transport and Communication</c:v>
                </c:pt>
                <c:pt idx="8">
                  <c:v>Education</c:v>
                </c:pt>
                <c:pt idx="9">
                  <c:v>Miscelleaneous</c:v>
                </c:pt>
              </c:strCache>
            </c:strRef>
          </c:cat>
          <c:val>
            <c:numRef>
              <c:f>'analysis 1'!$D$2:$M$2</c:f>
              <c:numCache>
                <c:formatCode>General</c:formatCode>
                <c:ptCount val="10"/>
                <c:pt idx="0">
                  <c:v>2290.7000000000007</c:v>
                </c:pt>
                <c:pt idx="1">
                  <c:v>358.70000000000005</c:v>
                </c:pt>
                <c:pt idx="2">
                  <c:v>569.90000000000009</c:v>
                </c:pt>
                <c:pt idx="3">
                  <c:v>354.8</c:v>
                </c:pt>
                <c:pt idx="4">
                  <c:v>199.9</c:v>
                </c:pt>
                <c:pt idx="5">
                  <c:v>182.5</c:v>
                </c:pt>
                <c:pt idx="6">
                  <c:v>187.8</c:v>
                </c:pt>
                <c:pt idx="7">
                  <c:v>169.7</c:v>
                </c:pt>
                <c:pt idx="8">
                  <c:v>180.3</c:v>
                </c:pt>
                <c:pt idx="9">
                  <c:v>179.5</c:v>
                </c:pt>
              </c:numCache>
            </c:numRef>
          </c:val>
          <c:extLst>
            <c:ext xmlns:c16="http://schemas.microsoft.com/office/drawing/2014/chart" uri="{C3380CC4-5D6E-409C-BE32-E72D297353CC}">
              <c16:uniqueId val="{00000000-23F4-4C80-A020-0FD2CF619096}"/>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60530737368766407"/>
          <c:y val="4.1184075291559423E-2"/>
          <c:w val="0.37906762631233593"/>
          <c:h val="0.956855150387754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25614814034533306"/>
          <c:y val="2.40240164498304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'analysis 1'!$A$5:$C$5</c:f>
              <c:strCache>
                <c:ptCount val="3"/>
                <c:pt idx="0">
                  <c:v>Urban</c:v>
                </c:pt>
                <c:pt idx="1">
                  <c:v>2023</c:v>
                </c:pt>
                <c:pt idx="2">
                  <c:v>May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32-4C63-B4F5-D383D80171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32-4C63-B4F5-D383D80171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32-4C63-B4F5-D383D801717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C32-4C63-B4F5-D383D801717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C32-4C63-B4F5-D383D801717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C32-4C63-B4F5-D383D801717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C32-4C63-B4F5-D383D801717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C32-4C63-B4F5-D383D801717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C32-4C63-B4F5-D383D801717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C32-4C63-B4F5-D383D80171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'analysis 1'!$D$4:$M$4</c:f>
              <c:strCache>
                <c:ptCount val="10"/>
                <c:pt idx="0">
                  <c:v>Food</c:v>
                </c:pt>
                <c:pt idx="1">
                  <c:v>Luxury</c:v>
                </c:pt>
                <c:pt idx="2">
                  <c:v>Clothing data</c:v>
                </c:pt>
                <c:pt idx="3">
                  <c:v>Housing data</c:v>
                </c:pt>
                <c:pt idx="4">
                  <c:v>Pan and tabacoo</c:v>
                </c:pt>
                <c:pt idx="5">
                  <c:v>Fuel and light</c:v>
                </c:pt>
                <c:pt idx="6">
                  <c:v>Health</c:v>
                </c:pt>
                <c:pt idx="7">
                  <c:v>Transport and Communication</c:v>
                </c:pt>
                <c:pt idx="8">
                  <c:v>Education</c:v>
                </c:pt>
                <c:pt idx="9">
                  <c:v>Miscelleaneous</c:v>
                </c:pt>
              </c:strCache>
            </c:strRef>
          </c:cat>
          <c:val>
            <c:numRef>
              <c:f>'analysis 1'!$D$5:$M$5</c:f>
              <c:numCache>
                <c:formatCode>General</c:formatCode>
                <c:ptCount val="10"/>
                <c:pt idx="0">
                  <c:v>2335.1</c:v>
                </c:pt>
                <c:pt idx="1">
                  <c:v>354.79999999999995</c:v>
                </c:pt>
                <c:pt idx="2">
                  <c:v>528.70000000000005</c:v>
                </c:pt>
                <c:pt idx="3">
                  <c:v>345.7</c:v>
                </c:pt>
                <c:pt idx="4">
                  <c:v>204.2</c:v>
                </c:pt>
                <c:pt idx="5">
                  <c:v>183.4</c:v>
                </c:pt>
                <c:pt idx="6">
                  <c:v>182.2</c:v>
                </c:pt>
                <c:pt idx="7">
                  <c:v>160.4</c:v>
                </c:pt>
                <c:pt idx="8">
                  <c:v>174.8</c:v>
                </c:pt>
                <c:pt idx="9">
                  <c:v>171.6</c:v>
                </c:pt>
              </c:numCache>
            </c:numRef>
          </c:val>
          <c:extLst>
            <c:ext xmlns:c16="http://schemas.microsoft.com/office/drawing/2014/chart" uri="{C3380CC4-5D6E-409C-BE32-E72D297353CC}">
              <c16:uniqueId val="{00000000-CED8-4318-9E99-24AC243EE9F7}"/>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62862437345833444"/>
          <c:y val="4.6223847083667266E-2"/>
          <c:w val="0.35799770012026089"/>
          <c:h val="0.915920356286883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8381944444444442"/>
          <c:y val="4.37810945273631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'analysis 1'!$A$8:$C$8</c:f>
              <c:strCache>
                <c:ptCount val="3"/>
                <c:pt idx="0">
                  <c:v>Rural+Urban</c:v>
                </c:pt>
                <c:pt idx="1">
                  <c:v>2023</c:v>
                </c:pt>
                <c:pt idx="2">
                  <c:v>May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45-4198-94EE-351B834149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45-4198-94EE-351B834149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45-4198-94EE-351B8341496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145-4198-94EE-351B8341496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145-4198-94EE-351B8341496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145-4198-94EE-351B8341496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145-4198-94EE-351B8341496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145-4198-94EE-351B8341496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145-4198-94EE-351B8341496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145-4198-94EE-351B834149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'analysis 1'!$D$7:$M$7</c:f>
              <c:strCache>
                <c:ptCount val="10"/>
                <c:pt idx="0">
                  <c:v>Food</c:v>
                </c:pt>
                <c:pt idx="1">
                  <c:v>Luxury</c:v>
                </c:pt>
                <c:pt idx="2">
                  <c:v>Clothing data</c:v>
                </c:pt>
                <c:pt idx="3">
                  <c:v>Housing data</c:v>
                </c:pt>
                <c:pt idx="4">
                  <c:v>Pan and tabacoo</c:v>
                </c:pt>
                <c:pt idx="5">
                  <c:v>Fuel and light</c:v>
                </c:pt>
                <c:pt idx="6">
                  <c:v>Health</c:v>
                </c:pt>
                <c:pt idx="7">
                  <c:v>Transport and Communication</c:v>
                </c:pt>
                <c:pt idx="8">
                  <c:v>Education</c:v>
                </c:pt>
                <c:pt idx="9">
                  <c:v>Miscelleaneous</c:v>
                </c:pt>
              </c:strCache>
            </c:strRef>
          </c:cat>
          <c:val>
            <c:numRef>
              <c:f>'analysis 1'!$D$8:$M$8</c:f>
              <c:numCache>
                <c:formatCode>General</c:formatCode>
                <c:ptCount val="10"/>
                <c:pt idx="0">
                  <c:v>2306.9</c:v>
                </c:pt>
                <c:pt idx="1">
                  <c:v>356.4</c:v>
                </c:pt>
                <c:pt idx="2">
                  <c:v>553.20000000000005</c:v>
                </c:pt>
                <c:pt idx="3">
                  <c:v>350.79999999999995</c:v>
                </c:pt>
                <c:pt idx="4">
                  <c:v>201</c:v>
                </c:pt>
                <c:pt idx="5">
                  <c:v>182.8</c:v>
                </c:pt>
                <c:pt idx="6">
                  <c:v>185.7</c:v>
                </c:pt>
                <c:pt idx="7">
                  <c:v>164.8</c:v>
                </c:pt>
                <c:pt idx="8">
                  <c:v>177.1</c:v>
                </c:pt>
                <c:pt idx="9">
                  <c:v>175.7</c:v>
                </c:pt>
              </c:numCache>
            </c:numRef>
          </c:val>
          <c:extLst>
            <c:ext xmlns:c16="http://schemas.microsoft.com/office/drawing/2014/chart" uri="{C3380CC4-5D6E-409C-BE32-E72D297353CC}">
              <c16:uniqueId val="{00000000-F819-4820-AD0E-7A6CEAF5C020}"/>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63990285068533104"/>
          <c:y val="3.6992674423159788E-2"/>
          <c:w val="0.34620826042578012"/>
          <c:h val="0.934333059113879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'analysis 2'!$F$4</c:f>
              <c:strCache>
                <c:ptCount val="1"/>
                <c:pt idx="0">
                  <c:v>General index</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'analysis 2'!$E$5:$E$10</c:f>
              <c:numCache>
                <c:formatCode>General</c:formatCode>
                <c:ptCount val="6"/>
                <c:pt idx="0">
                  <c:v>2017</c:v>
                </c:pt>
                <c:pt idx="1">
                  <c:v>2018</c:v>
                </c:pt>
                <c:pt idx="2">
                  <c:v>2019</c:v>
                </c:pt>
                <c:pt idx="3">
                  <c:v>2020</c:v>
                </c:pt>
                <c:pt idx="4">
                  <c:v>2021</c:v>
                </c:pt>
                <c:pt idx="5">
                  <c:v>2022</c:v>
                </c:pt>
              </c:numCache>
            </c:numRef>
          </c:xVal>
          <c:yVal>
            <c:numRef>
              <c:f>'analysis 2'!$F$5:$F$10</c:f>
              <c:numCache>
                <c:formatCode>General</c:formatCode>
                <c:ptCount val="6"/>
                <c:pt idx="0">
                  <c:v>5.2954719877206271</c:v>
                </c:pt>
                <c:pt idx="1">
                  <c:v>2.3374726077428698</c:v>
                </c:pt>
                <c:pt idx="2">
                  <c:v>7.7363896848137621</c:v>
                </c:pt>
                <c:pt idx="3">
                  <c:v>5.7922769640479483</c:v>
                </c:pt>
                <c:pt idx="4">
                  <c:v>5.6579783852510976</c:v>
                </c:pt>
                <c:pt idx="5">
                  <c:v>6.0350030175015092</c:v>
                </c:pt>
              </c:numCache>
            </c:numRef>
          </c:yVal>
          <c:smooth val="0"/>
          <c:extLst>
            <c:ext xmlns:c16="http://schemas.microsoft.com/office/drawing/2014/chart" uri="{C3380CC4-5D6E-409C-BE32-E72D297353CC}">
              <c16:uniqueId val="{00000000-55ED-486E-8E61-3FB16AF8F0AC}"/>
            </c:ext>
          </c:extLst>
        </c:ser>
        <c:dLbls>
          <c:showLegendKey val="0"/>
          <c:showVal val="0"/>
          <c:showCatName val="0"/>
          <c:showSerName val="0"/>
          <c:showPercent val="0"/>
          <c:showBubbleSize val="0"/>
        </c:dLbls>
        <c:axId val="662027208"/>
        <c:axId val="662032968"/>
      </c:scatterChart>
      <c:valAx>
        <c:axId val="662027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32968"/>
        <c:crosses val="autoZero"/>
        <c:crossBetween val="midCat"/>
      </c:valAx>
      <c:valAx>
        <c:axId val="662032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272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Rural + Urban Inflation pre and post covid</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'analysis 4'!$O$2</c:f>
              <c:strCache>
                <c:ptCount val="1"/>
                <c:pt idx="0">
                  <c:v>Inflation Rate of Food</c:v>
                </c:pt>
              </c:strCache>
            </c:strRef>
          </c:tx>
          <c:spPr>
            <a:solidFill>
              <a:schemeClr val="accent1"/>
            </a:solidFill>
            <a:ln>
              <a:noFill/>
            </a:ln>
            <a:effectLst/>
          </c:spPr>
          <c:invertIfNegative val="0"/>
          <c:cat>
            <c:strRef>
              <c:f>'analysis 4'!$N$3:$N$6</c:f>
              <c:strCache>
                <c:ptCount val="4"/>
                <c:pt idx="0">
                  <c:v>Date -2018-2019</c:v>
                </c:pt>
                <c:pt idx="1">
                  <c:v>Date -2019-2020</c:v>
                </c:pt>
                <c:pt idx="2">
                  <c:v>Date -2020-2021</c:v>
                </c:pt>
                <c:pt idx="3">
                  <c:v>Date -2021-2022</c:v>
                </c:pt>
              </c:strCache>
            </c:strRef>
          </c:cat>
          <c:val>
            <c:numRef>
              <c:f>'analysis 4'!$O$3:$O$6</c:f>
              <c:numCache>
                <c:formatCode>General</c:formatCode>
                <c:ptCount val="4"/>
                <c:pt idx="0">
                  <c:v>0.33008935177280485</c:v>
                </c:pt>
                <c:pt idx="1">
                  <c:v>5.7759919638372539</c:v>
                </c:pt>
                <c:pt idx="2">
                  <c:v>3.8867097957312393</c:v>
                </c:pt>
                <c:pt idx="3">
                  <c:v>5.8185165447410672</c:v>
                </c:pt>
              </c:numCache>
            </c:numRef>
          </c:val>
          <c:extLst>
            <c:ext xmlns:c16="http://schemas.microsoft.com/office/drawing/2014/chart" uri="{C3380CC4-5D6E-409C-BE32-E72D297353CC}">
              <c16:uniqueId val="{00000000-E171-4A80-8171-142762CE13E7}"/>
            </c:ext>
          </c:extLst>
        </c:ser>
        <c:ser>
          <c:idx val="1"/>
          <c:order val="1"/>
          <c:tx>
            <c:strRef>
              <c:f>'analysis 4'!$P$2</c:f>
              <c:strCache>
                <c:ptCount val="1"/>
                <c:pt idx="0">
                  <c:v>Inflation Rate of Health</c:v>
                </c:pt>
              </c:strCache>
            </c:strRef>
          </c:tx>
          <c:spPr>
            <a:solidFill>
              <a:schemeClr val="accent2"/>
            </a:solidFill>
            <a:ln>
              <a:noFill/>
            </a:ln>
            <a:effectLst/>
          </c:spPr>
          <c:invertIfNegative val="0"/>
          <c:cat>
            <c:strRef>
              <c:f>'analysis 4'!$N$3:$N$6</c:f>
              <c:strCache>
                <c:ptCount val="4"/>
                <c:pt idx="0">
                  <c:v>Date -2018-2019</c:v>
                </c:pt>
                <c:pt idx="1">
                  <c:v>Date -2019-2020</c:v>
                </c:pt>
                <c:pt idx="2">
                  <c:v>Date -2020-2021</c:v>
                </c:pt>
                <c:pt idx="3">
                  <c:v>Date -2021-2022</c:v>
                </c:pt>
              </c:strCache>
            </c:strRef>
          </c:cat>
          <c:val>
            <c:numRef>
              <c:f>'analysis 4'!$P$3:$P$6</c:f>
              <c:numCache>
                <c:formatCode>General</c:formatCode>
                <c:ptCount val="4"/>
                <c:pt idx="0">
                  <c:v>8.1360946745562135</c:v>
                </c:pt>
                <c:pt idx="1">
                  <c:v>2.4166099387338407</c:v>
                </c:pt>
                <c:pt idx="2">
                  <c:v>7.2992700729927016</c:v>
                </c:pt>
                <c:pt idx="3">
                  <c:v>6.5927295132470656</c:v>
                </c:pt>
              </c:numCache>
            </c:numRef>
          </c:val>
          <c:extLst>
            <c:ext xmlns:c16="http://schemas.microsoft.com/office/drawing/2014/chart" uri="{C3380CC4-5D6E-409C-BE32-E72D297353CC}">
              <c16:uniqueId val="{00000001-E171-4A80-8171-142762CE13E7}"/>
            </c:ext>
          </c:extLst>
        </c:ser>
        <c:ser>
          <c:idx val="2"/>
          <c:order val="2"/>
          <c:tx>
            <c:strRef>
              <c:f>'analysis 4'!$Q$2</c:f>
              <c:strCache>
                <c:ptCount val="1"/>
                <c:pt idx="0">
                  <c:v>Inflation Rate of Essential Services</c:v>
                </c:pt>
              </c:strCache>
            </c:strRef>
          </c:tx>
          <c:spPr>
            <a:solidFill>
              <a:schemeClr val="accent3"/>
            </a:solidFill>
            <a:ln>
              <a:noFill/>
            </a:ln>
            <a:effectLst/>
          </c:spPr>
          <c:invertIfNegative val="0"/>
          <c:cat>
            <c:strRef>
              <c:f>'analysis 4'!$N$3:$N$6</c:f>
              <c:strCache>
                <c:ptCount val="4"/>
                <c:pt idx="0">
                  <c:v>Date -2018-2019</c:v>
                </c:pt>
                <c:pt idx="1">
                  <c:v>Date -2019-2020</c:v>
                </c:pt>
                <c:pt idx="2">
                  <c:v>Date -2020-2021</c:v>
                </c:pt>
                <c:pt idx="3">
                  <c:v>Date -2021-2022</c:v>
                </c:pt>
              </c:strCache>
            </c:strRef>
          </c:cat>
          <c:val>
            <c:numRef>
              <c:f>'analysis 4'!$Q$3:$Q$6</c:f>
              <c:numCache>
                <c:formatCode>General</c:formatCode>
                <c:ptCount val="4"/>
                <c:pt idx="0">
                  <c:v>4.2561065877128339</c:v>
                </c:pt>
                <c:pt idx="1">
                  <c:v>3.6286522148916069</c:v>
                </c:pt>
                <c:pt idx="2">
                  <c:v>15.489096573208716</c:v>
                </c:pt>
                <c:pt idx="3">
                  <c:v>5.7735727341146159</c:v>
                </c:pt>
              </c:numCache>
            </c:numRef>
          </c:val>
          <c:extLst>
            <c:ext xmlns:c16="http://schemas.microsoft.com/office/drawing/2014/chart" uri="{C3380CC4-5D6E-409C-BE32-E72D297353CC}">
              <c16:uniqueId val="{00000002-E171-4A80-8171-142762CE13E7}"/>
            </c:ext>
          </c:extLst>
        </c:ser>
        <c:dLbls>
          <c:showLegendKey val="0"/>
          <c:showVal val="0"/>
          <c:showCatName val="0"/>
          <c:showSerName val="0"/>
          <c:showPercent val="0"/>
          <c:showBubbleSize val="0"/>
        </c:dLbls>
        <c:gapWidth val="219"/>
        <c:overlap val="-27"/>
        <c:axId val="512388176"/>
        <c:axId val="512388896"/>
      </c:barChart>
      <c:catAx>
        <c:axId val="51238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388896"/>
        <c:crosses val="autoZero"/>
        <c:auto val="1"/>
        <c:lblAlgn val="ctr"/>
        <c:lblOffset val="100"/>
        <c:noMultiLvlLbl val="0"/>
      </c:catAx>
      <c:valAx>
        <c:axId val="512388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388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CORRELATION OIL PRICE AND CATEGORIES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stacked"/>
        <c:varyColors val="0"/>
        <c:ser>
          <c:idx val="0"/>
          <c:order val="0"/>
          <c:tx>
            <c:strRef>
              <c:f>'analysis 5'!$K$40</c:f>
              <c:strCache>
                <c:ptCount val="1"/>
                <c:pt idx="0">
                  <c:v>Correlation with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'analysis 5'!$L$39:$AL$39</c:f>
              <c:strCache>
                <c:ptCount val="27"/>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pt idx="26">
                  <c:v>General index</c:v>
                </c:pt>
              </c:strCache>
            </c:strRef>
          </c:cat>
          <c:val>
            <c:numRef>
              <c:f>'analysis 5'!$L$40:$AL$40</c:f>
              <c:numCache>
                <c:formatCode>General</c:formatCode>
                <c:ptCount val="27"/>
                <c:pt idx="0">
                  <c:v>0.63088997235416833</c:v>
                </c:pt>
                <c:pt idx="1">
                  <c:v>0.82753719540868953</c:v>
                </c:pt>
                <c:pt idx="2">
                  <c:v>-0.14639742208981818</c:v>
                </c:pt>
                <c:pt idx="3">
                  <c:v>0.74329009060698747</c:v>
                </c:pt>
                <c:pt idx="4">
                  <c:v>0.78723545571256881</c:v>
                </c:pt>
                <c:pt idx="5">
                  <c:v>0.6347252186892316</c:v>
                </c:pt>
                <c:pt idx="6">
                  <c:v>0.37754361153438942</c:v>
                </c:pt>
                <c:pt idx="7">
                  <c:v>0.43414807898817631</c:v>
                </c:pt>
                <c:pt idx="8">
                  <c:v>0.61171682532713556</c:v>
                </c:pt>
                <c:pt idx="9">
                  <c:v>0.70393740002024474</c:v>
                </c:pt>
                <c:pt idx="10">
                  <c:v>0.79646189692557234</c:v>
                </c:pt>
                <c:pt idx="11">
                  <c:v>0.79948061402095216</c:v>
                </c:pt>
                <c:pt idx="12">
                  <c:v>0.78995192224178934</c:v>
                </c:pt>
                <c:pt idx="13">
                  <c:v>0.733903734187763</c:v>
                </c:pt>
                <c:pt idx="14">
                  <c:v>0.81629566264468512</c:v>
                </c:pt>
                <c:pt idx="15">
                  <c:v>0.82781491600452695</c:v>
                </c:pt>
                <c:pt idx="16">
                  <c:v>0.81837410204690808</c:v>
                </c:pt>
                <c:pt idx="17">
                  <c:v>0.78063058029432209</c:v>
                </c:pt>
                <c:pt idx="18">
                  <c:v>0.81418628660616954</c:v>
                </c:pt>
                <c:pt idx="19">
                  <c:v>0.80716233870322718</c:v>
                </c:pt>
                <c:pt idx="20">
                  <c:v>0.80102875734726775</c:v>
                </c:pt>
                <c:pt idx="21">
                  <c:v>0.85771119656863803</c:v>
                </c:pt>
                <c:pt idx="22">
                  <c:v>0.85038830413771771</c:v>
                </c:pt>
                <c:pt idx="23">
                  <c:v>0.74569728218230924</c:v>
                </c:pt>
                <c:pt idx="24">
                  <c:v>0.82220073027995932</c:v>
                </c:pt>
                <c:pt idx="25">
                  <c:v>0.83242811550906193</c:v>
                </c:pt>
                <c:pt idx="26">
                  <c:v>0.81506535749282327</c:v>
                </c:pt>
              </c:numCache>
            </c:numRef>
          </c:val>
          <c:extLst>
            <c:ext xmlns:c16="http://schemas.microsoft.com/office/drawing/2014/chart" uri="{C3380CC4-5D6E-409C-BE32-E72D297353CC}">
              <c16:uniqueId val="{00000000-7877-4AAE-9092-D6F162906E7F}"/>
            </c:ext>
          </c:extLst>
        </c:ser>
        <c:ser>
          <c:idx val="1"/>
          <c:order val="1"/>
          <c:tx>
            <c:strRef>
              <c:f>'analysis 5'!$K$41</c:f>
              <c:strCache>
                <c:ptCount val="1"/>
                <c:pt idx="0">
                  <c:v>Correlation with Total Amount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'analysis 5'!$L$39:$AL$39</c:f>
              <c:strCache>
                <c:ptCount val="27"/>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pt idx="26">
                  <c:v>General index</c:v>
                </c:pt>
              </c:strCache>
            </c:strRef>
          </c:cat>
          <c:val>
            <c:numRef>
              <c:f>'analysis 5'!$L$41:$AL$41</c:f>
              <c:numCache>
                <c:formatCode>General</c:formatCode>
                <c:ptCount val="27"/>
                <c:pt idx="0">
                  <c:v>0.62566397063783818</c:v>
                </c:pt>
                <c:pt idx="1">
                  <c:v>0.82089840720495966</c:v>
                </c:pt>
                <c:pt idx="2">
                  <c:v>-0.13982687696448276</c:v>
                </c:pt>
                <c:pt idx="3">
                  <c:v>0.74098829296939528</c:v>
                </c:pt>
                <c:pt idx="4">
                  <c:v>0.79325739767868586</c:v>
                </c:pt>
                <c:pt idx="5">
                  <c:v>0.60338890600947237</c:v>
                </c:pt>
                <c:pt idx="6">
                  <c:v>0.39035443114906321</c:v>
                </c:pt>
                <c:pt idx="7">
                  <c:v>0.43014413892069292</c:v>
                </c:pt>
                <c:pt idx="8">
                  <c:v>0.63090017199300286</c:v>
                </c:pt>
                <c:pt idx="9">
                  <c:v>0.69600111404273524</c:v>
                </c:pt>
                <c:pt idx="10">
                  <c:v>0.7997132194455604</c:v>
                </c:pt>
                <c:pt idx="11">
                  <c:v>0.79728219617820528</c:v>
                </c:pt>
                <c:pt idx="12">
                  <c:v>0.78972704297510465</c:v>
                </c:pt>
                <c:pt idx="13">
                  <c:v>0.73666275628725719</c:v>
                </c:pt>
                <c:pt idx="14">
                  <c:v>0.81371769490548262</c:v>
                </c:pt>
                <c:pt idx="15">
                  <c:v>0.82441195503144782</c:v>
                </c:pt>
                <c:pt idx="16">
                  <c:v>0.81562775910661578</c:v>
                </c:pt>
                <c:pt idx="17">
                  <c:v>0.77965208842248479</c:v>
                </c:pt>
                <c:pt idx="18">
                  <c:v>0.81072897349103723</c:v>
                </c:pt>
                <c:pt idx="19">
                  <c:v>0.80617072222577102</c:v>
                </c:pt>
                <c:pt idx="20">
                  <c:v>0.80204643724723756</c:v>
                </c:pt>
                <c:pt idx="21">
                  <c:v>0.86257711339658527</c:v>
                </c:pt>
                <c:pt idx="22">
                  <c:v>0.85009628569476692</c:v>
                </c:pt>
                <c:pt idx="23">
                  <c:v>0.74215075698574984</c:v>
                </c:pt>
                <c:pt idx="24">
                  <c:v>0.82041802003829001</c:v>
                </c:pt>
                <c:pt idx="25">
                  <c:v>0.8332672088780031</c:v>
                </c:pt>
                <c:pt idx="26">
                  <c:v>0.81458090179051079</c:v>
                </c:pt>
              </c:numCache>
            </c:numRef>
          </c:val>
          <c:extLst>
            <c:ext xmlns:c16="http://schemas.microsoft.com/office/drawing/2014/chart" uri="{C3380CC4-5D6E-409C-BE32-E72D297353CC}">
              <c16:uniqueId val="{00000001-7877-4AAE-9092-D6F162906E7F}"/>
            </c:ext>
          </c:extLst>
        </c:ser>
        <c:ser>
          <c:idx val="2"/>
          <c:order val="2"/>
          <c:tx>
            <c:strRef>
              <c:f>'analysis 5'!$K$42</c:f>
              <c:strCache>
                <c:ptCount val="1"/>
                <c:pt idx="0">
                  <c:v>Correlation with FOB</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'analysis 5'!$L$39:$AL$39</c:f>
              <c:strCache>
                <c:ptCount val="27"/>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pt idx="26">
                  <c:v>General index</c:v>
                </c:pt>
              </c:strCache>
            </c:strRef>
          </c:cat>
          <c:val>
            <c:numRef>
              <c:f>'analysis 5'!$L$42:$AL$42</c:f>
              <c:numCache>
                <c:formatCode>General</c:formatCode>
                <c:ptCount val="27"/>
                <c:pt idx="0">
                  <c:v>0.50782673928104072</c:v>
                </c:pt>
                <c:pt idx="1">
                  <c:v>0.84191192019168415</c:v>
                </c:pt>
                <c:pt idx="2">
                  <c:v>-0.2036224701816976</c:v>
                </c:pt>
                <c:pt idx="3">
                  <c:v>0.63436438765675618</c:v>
                </c:pt>
                <c:pt idx="4">
                  <c:v>0.82620259475660895</c:v>
                </c:pt>
                <c:pt idx="5">
                  <c:v>0.59139323105135344</c:v>
                </c:pt>
                <c:pt idx="6">
                  <c:v>0.35074653398470973</c:v>
                </c:pt>
                <c:pt idx="7">
                  <c:v>0.36427003644529937</c:v>
                </c:pt>
                <c:pt idx="8">
                  <c:v>0.56709729181669644</c:v>
                </c:pt>
                <c:pt idx="9">
                  <c:v>0.59053727341757856</c:v>
                </c:pt>
                <c:pt idx="10">
                  <c:v>0.75260403886846317</c:v>
                </c:pt>
                <c:pt idx="11">
                  <c:v>0.71816936627720163</c:v>
                </c:pt>
                <c:pt idx="12">
                  <c:v>0.71771593094288821</c:v>
                </c:pt>
                <c:pt idx="13">
                  <c:v>0.68867161411370348</c:v>
                </c:pt>
                <c:pt idx="14">
                  <c:v>0.73718735666666269</c:v>
                </c:pt>
                <c:pt idx="15">
                  <c:v>0.74869562674882939</c:v>
                </c:pt>
                <c:pt idx="16">
                  <c:v>0.7393580301817575</c:v>
                </c:pt>
                <c:pt idx="17">
                  <c:v>0.69787802521406628</c:v>
                </c:pt>
                <c:pt idx="18">
                  <c:v>0.73695384515053841</c:v>
                </c:pt>
                <c:pt idx="19">
                  <c:v>0.73037374022525769</c:v>
                </c:pt>
                <c:pt idx="20">
                  <c:v>0.73881995293995806</c:v>
                </c:pt>
                <c:pt idx="21">
                  <c:v>0.81520166268737893</c:v>
                </c:pt>
                <c:pt idx="22">
                  <c:v>0.78563045522865071</c:v>
                </c:pt>
                <c:pt idx="23">
                  <c:v>0.65313864265722477</c:v>
                </c:pt>
                <c:pt idx="24">
                  <c:v>0.73372084561697026</c:v>
                </c:pt>
                <c:pt idx="25">
                  <c:v>0.76560004102965407</c:v>
                </c:pt>
                <c:pt idx="26">
                  <c:v>0.74098995346190499</c:v>
                </c:pt>
              </c:numCache>
            </c:numRef>
          </c:val>
          <c:extLst>
            <c:ext xmlns:c16="http://schemas.microsoft.com/office/drawing/2014/chart" uri="{C3380CC4-5D6E-409C-BE32-E72D297353CC}">
              <c16:uniqueId val="{00000002-7877-4AAE-9092-D6F162906E7F}"/>
            </c:ext>
          </c:extLst>
        </c:ser>
        <c:ser>
          <c:idx val="3"/>
          <c:order val="3"/>
          <c:tx>
            <c:strRef>
              <c:f>'analysis 5'!$K$43</c:f>
              <c:strCache>
                <c:ptCount val="1"/>
                <c:pt idx="0">
                  <c:v>Correlation with Amount(USD)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'analysis 5'!$L$39:$AL$39</c:f>
              <c:strCache>
                <c:ptCount val="27"/>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pt idx="26">
                  <c:v>General index</c:v>
                </c:pt>
              </c:strCache>
            </c:strRef>
          </c:cat>
          <c:val>
            <c:numRef>
              <c:f>'analysis 5'!$L$43:$AL$43</c:f>
              <c:numCache>
                <c:formatCode>General</c:formatCode>
                <c:ptCount val="27"/>
                <c:pt idx="0">
                  <c:v>0.5423166437173399</c:v>
                </c:pt>
                <c:pt idx="1">
                  <c:v>0.80678823670018274</c:v>
                </c:pt>
                <c:pt idx="2">
                  <c:v>-0.1947487224906882</c:v>
                </c:pt>
                <c:pt idx="3">
                  <c:v>0.66674237415530457</c:v>
                </c:pt>
                <c:pt idx="4">
                  <c:v>0.79080232939044837</c:v>
                </c:pt>
                <c:pt idx="5">
                  <c:v>0.62056716411790092</c:v>
                </c:pt>
                <c:pt idx="6">
                  <c:v>0.34689904543035721</c:v>
                </c:pt>
                <c:pt idx="7">
                  <c:v>0.35562629067948842</c:v>
                </c:pt>
                <c:pt idx="8">
                  <c:v>0.57693889146970256</c:v>
                </c:pt>
                <c:pt idx="9">
                  <c:v>0.62072211887215722</c:v>
                </c:pt>
                <c:pt idx="10">
                  <c:v>0.74494062947658435</c:v>
                </c:pt>
                <c:pt idx="11">
                  <c:v>0.7333274296642136</c:v>
                </c:pt>
                <c:pt idx="12">
                  <c:v>0.72767202760513139</c:v>
                </c:pt>
                <c:pt idx="13">
                  <c:v>0.67518222917500637</c:v>
                </c:pt>
                <c:pt idx="14">
                  <c:v>0.75340382305569176</c:v>
                </c:pt>
                <c:pt idx="15">
                  <c:v>0.76519886346317456</c:v>
                </c:pt>
                <c:pt idx="16">
                  <c:v>0.75545121042032781</c:v>
                </c:pt>
                <c:pt idx="17">
                  <c:v>0.71398385201460413</c:v>
                </c:pt>
                <c:pt idx="18">
                  <c:v>0.75098147120515713</c:v>
                </c:pt>
                <c:pt idx="19">
                  <c:v>0.74440651476538511</c:v>
                </c:pt>
                <c:pt idx="20">
                  <c:v>0.74319375559349876</c:v>
                </c:pt>
                <c:pt idx="21">
                  <c:v>0.81733692066269026</c:v>
                </c:pt>
                <c:pt idx="22">
                  <c:v>0.79820547531044184</c:v>
                </c:pt>
                <c:pt idx="23">
                  <c:v>0.6702698048140362</c:v>
                </c:pt>
                <c:pt idx="24">
                  <c:v>0.76034982390762229</c:v>
                </c:pt>
                <c:pt idx="25">
                  <c:v>0.77627362728304694</c:v>
                </c:pt>
                <c:pt idx="26">
                  <c:v>0.75326517148172878</c:v>
                </c:pt>
              </c:numCache>
            </c:numRef>
          </c:val>
          <c:extLst>
            <c:ext xmlns:c16="http://schemas.microsoft.com/office/drawing/2014/chart" uri="{C3380CC4-5D6E-409C-BE32-E72D297353CC}">
              <c16:uniqueId val="{00000003-7877-4AAE-9092-D6F162906E7F}"/>
            </c:ext>
          </c:extLst>
        </c:ser>
        <c:ser>
          <c:idx val="4"/>
          <c:order val="4"/>
          <c:tx>
            <c:strRef>
              <c:f>'analysis 5'!$K$44</c:f>
              <c:strCache>
                <c:ptCount val="1"/>
                <c:pt idx="0">
                  <c:v>Correlation with Total Amount(USD)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'analysis 5'!$L$39:$AL$39</c:f>
              <c:strCache>
                <c:ptCount val="27"/>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pt idx="26">
                  <c:v>General index</c:v>
                </c:pt>
              </c:strCache>
            </c:strRef>
          </c:cat>
          <c:val>
            <c:numRef>
              <c:f>'analysis 5'!$L$44:$AL$44</c:f>
              <c:numCache>
                <c:formatCode>General</c:formatCode>
                <c:ptCount val="27"/>
                <c:pt idx="0">
                  <c:v>0.35332752045261651</c:v>
                </c:pt>
                <c:pt idx="1">
                  <c:v>0.7128467526089175</c:v>
                </c:pt>
                <c:pt idx="2">
                  <c:v>-0.21705552296021741</c:v>
                </c:pt>
                <c:pt idx="3">
                  <c:v>0.4994637565522328</c:v>
                </c:pt>
                <c:pt idx="4">
                  <c:v>0.78167042955884158</c:v>
                </c:pt>
                <c:pt idx="5">
                  <c:v>0.45051019401191239</c:v>
                </c:pt>
                <c:pt idx="6">
                  <c:v>0.32263430824735873</c:v>
                </c:pt>
                <c:pt idx="7">
                  <c:v>0.21264006297414376</c:v>
                </c:pt>
                <c:pt idx="8">
                  <c:v>0.56104530976501565</c:v>
                </c:pt>
                <c:pt idx="9">
                  <c:v>0.42654296102870148</c:v>
                </c:pt>
                <c:pt idx="10">
                  <c:v>0.64623209843410623</c:v>
                </c:pt>
                <c:pt idx="11">
                  <c:v>0.5889230978518043</c:v>
                </c:pt>
                <c:pt idx="12">
                  <c:v>0.59064433120860593</c:v>
                </c:pt>
                <c:pt idx="13">
                  <c:v>0.56565586709261173</c:v>
                </c:pt>
                <c:pt idx="14">
                  <c:v>0.61527251039655906</c:v>
                </c:pt>
                <c:pt idx="15">
                  <c:v>0.62305773449244151</c:v>
                </c:pt>
                <c:pt idx="16">
                  <c:v>0.6165848396333472</c:v>
                </c:pt>
                <c:pt idx="17">
                  <c:v>0.569861659670162</c:v>
                </c:pt>
                <c:pt idx="18">
                  <c:v>0.59886636892463441</c:v>
                </c:pt>
                <c:pt idx="19">
                  <c:v>0.61185918969432729</c:v>
                </c:pt>
                <c:pt idx="20">
                  <c:v>0.62670790454344427</c:v>
                </c:pt>
              </c:numCache>
            </c:numRef>
          </c:val>
          <c:extLst>
            <c:ext xmlns:c16="http://schemas.microsoft.com/office/drawing/2014/chart" uri="{C3380CC4-5D6E-409C-BE32-E72D297353CC}">
              <c16:uniqueId val="{00000004-7877-4AAE-9092-D6F162906E7F}"/>
            </c:ext>
          </c:extLst>
        </c:ser>
        <c:dLbls>
          <c:showLegendKey val="0"/>
          <c:showVal val="0"/>
          <c:showCatName val="0"/>
          <c:showSerName val="0"/>
          <c:showPercent val="0"/>
          <c:showBubbleSize val="0"/>
        </c:dLbls>
        <c:gapWidth val="150"/>
        <c:overlap val="100"/>
        <c:axId val="555901000"/>
        <c:axId val="555896680"/>
      </c:barChart>
      <c:catAx>
        <c:axId val="5559010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55896680"/>
        <c:crosses val="autoZero"/>
        <c:auto val="1"/>
        <c:lblAlgn val="ctr"/>
        <c:lblOffset val="100"/>
        <c:noMultiLvlLbl val="0"/>
      </c:catAx>
      <c:valAx>
        <c:axId val="55589668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55901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8381944444444442"/>
          <c:y val="4.3781094527363187E-2"/>
        </c:manualLayout>
      </c:layout>
      <c:overlay val="0"/>
      <c:spPr>
        <a:solidFill>
          <a:schemeClr val="accent6">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'analysis 1'!$A$8:$C$8</c:f>
              <c:strCache>
                <c:ptCount val="3"/>
                <c:pt idx="0">
                  <c:v>Rural+Urban</c:v>
                </c:pt>
                <c:pt idx="1">
                  <c:v>2023</c:v>
                </c:pt>
                <c:pt idx="2">
                  <c:v>May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95-43A9-BBCB-86415981CD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95-43A9-BBCB-86415981CD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95-43A9-BBCB-86415981CD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95-43A9-BBCB-86415981CD3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C95-43A9-BBCB-86415981CD3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C95-43A9-BBCB-86415981CD3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C95-43A9-BBCB-86415981CD3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C95-43A9-BBCB-86415981CD3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C95-43A9-BBCB-86415981CD3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C95-43A9-BBCB-86415981CD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'analysis 1'!$D$7:$M$7</c:f>
              <c:strCache>
                <c:ptCount val="10"/>
                <c:pt idx="0">
                  <c:v>Food</c:v>
                </c:pt>
                <c:pt idx="1">
                  <c:v>Luxury</c:v>
                </c:pt>
                <c:pt idx="2">
                  <c:v>Clothing data</c:v>
                </c:pt>
                <c:pt idx="3">
                  <c:v>Housing data</c:v>
                </c:pt>
                <c:pt idx="4">
                  <c:v>Pan and tabacoo</c:v>
                </c:pt>
                <c:pt idx="5">
                  <c:v>Fuel and light</c:v>
                </c:pt>
                <c:pt idx="6">
                  <c:v>Health</c:v>
                </c:pt>
                <c:pt idx="7">
                  <c:v>Transport and Communication</c:v>
                </c:pt>
                <c:pt idx="8">
                  <c:v>Education</c:v>
                </c:pt>
                <c:pt idx="9">
                  <c:v>Miscelleaneous</c:v>
                </c:pt>
              </c:strCache>
            </c:strRef>
          </c:cat>
          <c:val>
            <c:numRef>
              <c:f>'analysis 1'!$D$8:$M$8</c:f>
              <c:numCache>
                <c:formatCode>General</c:formatCode>
                <c:ptCount val="10"/>
                <c:pt idx="0">
                  <c:v>2306.9</c:v>
                </c:pt>
                <c:pt idx="1">
                  <c:v>356.4</c:v>
                </c:pt>
                <c:pt idx="2">
                  <c:v>553.20000000000005</c:v>
                </c:pt>
                <c:pt idx="3">
                  <c:v>350.79999999999995</c:v>
                </c:pt>
                <c:pt idx="4">
                  <c:v>201</c:v>
                </c:pt>
                <c:pt idx="5">
                  <c:v>182.8</c:v>
                </c:pt>
                <c:pt idx="6">
                  <c:v>185.7</c:v>
                </c:pt>
                <c:pt idx="7">
                  <c:v>164.8</c:v>
                </c:pt>
                <c:pt idx="8">
                  <c:v>177.1</c:v>
                </c:pt>
                <c:pt idx="9">
                  <c:v>175.7</c:v>
                </c:pt>
              </c:numCache>
            </c:numRef>
          </c:val>
          <c:extLst>
            <c:ext xmlns:c16="http://schemas.microsoft.com/office/drawing/2014/chart" uri="{C3380CC4-5D6E-409C-BE32-E72D297353CC}">
              <c16:uniqueId val="{00000014-BC95-43A9-BBCB-86415981CD30}"/>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63990285068533104"/>
          <c:y val="3.6992674423159788E-2"/>
          <c:w val="0.34620826042578012"/>
          <c:h val="0.93433305911387943"/>
        </c:manualLayout>
      </c:layout>
      <c:overlay val="0"/>
      <c:spPr>
        <a:solidFill>
          <a:schemeClr val="accent6">
            <a:lumMod val="40000"/>
            <a:lumOff val="6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solidFill>
          <a:schemeClr val="accent6">
            <a:lumMod val="75000"/>
          </a:schemeClr>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'analysis 2'!$F$4</c:f>
              <c:strCache>
                <c:ptCount val="1"/>
                <c:pt idx="0">
                  <c:v>General index</c:v>
                </c:pt>
              </c:strCache>
            </c:strRef>
          </c:tx>
          <c:spPr>
            <a:ln w="95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cap="rnd">
                <a:solidFill>
                  <a:schemeClr val="accent6"/>
                </a:solidFill>
                <a:round/>
              </a:ln>
              <a:effectLst>
                <a:outerShdw blurRad="57150" dist="19050" dir="5400000" algn="ctr" rotWithShape="0">
                  <a:srgbClr val="000000">
                    <a:alpha val="63000"/>
                  </a:srgbClr>
                </a:outerShdw>
              </a:effectLst>
            </c:spPr>
          </c:marker>
          <c:xVal>
            <c:numRef>
              <c:f>'analysis 2'!$E$5:$E$10</c:f>
              <c:numCache>
                <c:formatCode>General</c:formatCode>
                <c:ptCount val="6"/>
                <c:pt idx="0">
                  <c:v>2017</c:v>
                </c:pt>
                <c:pt idx="1">
                  <c:v>2018</c:v>
                </c:pt>
                <c:pt idx="2">
                  <c:v>2019</c:v>
                </c:pt>
                <c:pt idx="3">
                  <c:v>2020</c:v>
                </c:pt>
                <c:pt idx="4">
                  <c:v>2021</c:v>
                </c:pt>
                <c:pt idx="5">
                  <c:v>2022</c:v>
                </c:pt>
              </c:numCache>
            </c:numRef>
          </c:xVal>
          <c:yVal>
            <c:numRef>
              <c:f>'analysis 2'!$F$5:$F$10</c:f>
              <c:numCache>
                <c:formatCode>General</c:formatCode>
                <c:ptCount val="6"/>
                <c:pt idx="0">
                  <c:v>5.2954719877206271</c:v>
                </c:pt>
                <c:pt idx="1">
                  <c:v>2.3374726077428698</c:v>
                </c:pt>
                <c:pt idx="2">
                  <c:v>7.7363896848137621</c:v>
                </c:pt>
                <c:pt idx="3">
                  <c:v>5.7922769640479483</c:v>
                </c:pt>
                <c:pt idx="4">
                  <c:v>5.6579783852510976</c:v>
                </c:pt>
                <c:pt idx="5">
                  <c:v>6.0350030175015092</c:v>
                </c:pt>
              </c:numCache>
            </c:numRef>
          </c:yVal>
          <c:smooth val="0"/>
          <c:extLst>
            <c:ext xmlns:c16="http://schemas.microsoft.com/office/drawing/2014/chart" uri="{C3380CC4-5D6E-409C-BE32-E72D297353CC}">
              <c16:uniqueId val="{00000000-99C7-4A82-9071-1CF276EE69CF}"/>
            </c:ext>
          </c:extLst>
        </c:ser>
        <c:dLbls>
          <c:showLegendKey val="0"/>
          <c:showVal val="0"/>
          <c:showCatName val="0"/>
          <c:showSerName val="0"/>
          <c:showPercent val="0"/>
          <c:showBubbleSize val="0"/>
        </c:dLbls>
        <c:axId val="662027208"/>
        <c:axId val="662032968"/>
      </c:scatterChart>
      <c:valAx>
        <c:axId val="66202720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1000" b="1" i="0" u="none" strike="noStrike" kern="1200" baseline="0">
                <a:solidFill>
                  <a:schemeClr val="lt1">
                    <a:lumMod val="75000"/>
                  </a:schemeClr>
                </a:solidFill>
                <a:latin typeface="+mn-lt"/>
                <a:ea typeface="+mn-ea"/>
                <a:cs typeface="+mn-cs"/>
              </a:defRPr>
            </a:pPr>
            <a:endParaRPr lang="en-US"/>
          </a:p>
        </c:txPr>
        <c:crossAx val="662032968"/>
        <c:crosses val="autoZero"/>
        <c:crossBetween val="midCat"/>
      </c:valAx>
      <c:valAx>
        <c:axId val="6620329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1000" b="0" i="0" u="none" strike="noStrike" kern="1200" baseline="0">
                <a:solidFill>
                  <a:schemeClr val="lt1">
                    <a:lumMod val="75000"/>
                  </a:schemeClr>
                </a:solidFill>
                <a:latin typeface="+mn-lt"/>
                <a:ea typeface="+mn-ea"/>
                <a:cs typeface="+mn-cs"/>
              </a:defRPr>
            </a:pPr>
            <a:endParaRPr lang="en-US"/>
          </a:p>
        </c:txPr>
        <c:crossAx val="662027208"/>
        <c:crosses val="autoZero"/>
        <c:crossBetween val="midCat"/>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r>
              <a:rPr lang="en-IN" sz="1400" b="1" i="0" u="none" strike="noStrike" kern="1200" spc="0" baseline="0">
                <a:solidFill>
                  <a:schemeClr val="accent6">
                    <a:lumMod val="75000"/>
                  </a:schemeClr>
                </a:solidFill>
              </a:rPr>
              <a:t>Rural + Urban Inflation pre and post covid</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85000"/>
                  </a:sysClr>
                </a:solidFill>
              </a:defRPr>
            </a:pPr>
            <a:endParaRPr lang="en-IN">
              <a:solidFill>
                <a:schemeClr val="accent6">
                  <a:lumMod val="75000"/>
                </a:scheme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endParaRPr lang="en-US"/>
        </a:p>
      </c:txPr>
    </c:title>
    <c:autoTitleDeleted val="0"/>
    <c:plotArea>
      <c:layout/>
      <c:barChart>
        <c:barDir val="col"/>
        <c:grouping val="clustered"/>
        <c:varyColors val="0"/>
        <c:ser>
          <c:idx val="0"/>
          <c:order val="0"/>
          <c:tx>
            <c:strRef>
              <c:f>'analysis 4'!$O$2</c:f>
              <c:strCache>
                <c:ptCount val="1"/>
                <c:pt idx="0">
                  <c:v>Inflation Rate of Food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 4'!$N$3:$N$6</c:f>
              <c:strCache>
                <c:ptCount val="4"/>
                <c:pt idx="0">
                  <c:v>Date -2018-2019</c:v>
                </c:pt>
                <c:pt idx="1">
                  <c:v>Date -2019-2020</c:v>
                </c:pt>
                <c:pt idx="2">
                  <c:v>Date -2020-2021</c:v>
                </c:pt>
                <c:pt idx="3">
                  <c:v>Date -2021-2022</c:v>
                </c:pt>
              </c:strCache>
            </c:strRef>
          </c:cat>
          <c:val>
            <c:numRef>
              <c:f>'analysis 4'!$O$3:$O$6</c:f>
              <c:numCache>
                <c:formatCode>General</c:formatCode>
                <c:ptCount val="4"/>
                <c:pt idx="0">
                  <c:v>0.33008935177280485</c:v>
                </c:pt>
                <c:pt idx="1">
                  <c:v>5.7759919638372539</c:v>
                </c:pt>
                <c:pt idx="2">
                  <c:v>3.8867097957312393</c:v>
                </c:pt>
                <c:pt idx="3">
                  <c:v>5.8185165447410672</c:v>
                </c:pt>
              </c:numCache>
            </c:numRef>
          </c:val>
          <c:extLst>
            <c:ext xmlns:c16="http://schemas.microsoft.com/office/drawing/2014/chart" uri="{C3380CC4-5D6E-409C-BE32-E72D297353CC}">
              <c16:uniqueId val="{00000000-90BE-4AFD-8C1F-7224C2C0E75D}"/>
            </c:ext>
          </c:extLst>
        </c:ser>
        <c:ser>
          <c:idx val="1"/>
          <c:order val="1"/>
          <c:tx>
            <c:strRef>
              <c:f>'analysis 4'!$P$2</c:f>
              <c:strCache>
                <c:ptCount val="1"/>
                <c:pt idx="0">
                  <c:v>Inflation Rate of Health</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'analysis 4'!$N$3:$N$6</c:f>
              <c:strCache>
                <c:ptCount val="4"/>
                <c:pt idx="0">
                  <c:v>Date -2018-2019</c:v>
                </c:pt>
                <c:pt idx="1">
                  <c:v>Date -2019-2020</c:v>
                </c:pt>
                <c:pt idx="2">
                  <c:v>Date -2020-2021</c:v>
                </c:pt>
                <c:pt idx="3">
                  <c:v>Date -2021-2022</c:v>
                </c:pt>
              </c:strCache>
            </c:strRef>
          </c:cat>
          <c:val>
            <c:numRef>
              <c:f>'analysis 4'!$P$3:$P$6</c:f>
              <c:numCache>
                <c:formatCode>General</c:formatCode>
                <c:ptCount val="4"/>
                <c:pt idx="0">
                  <c:v>8.1360946745562135</c:v>
                </c:pt>
                <c:pt idx="1">
                  <c:v>2.4166099387338407</c:v>
                </c:pt>
                <c:pt idx="2">
                  <c:v>7.2992700729927016</c:v>
                </c:pt>
                <c:pt idx="3">
                  <c:v>6.5927295132470656</c:v>
                </c:pt>
              </c:numCache>
            </c:numRef>
          </c:val>
          <c:extLst>
            <c:ext xmlns:c16="http://schemas.microsoft.com/office/drawing/2014/chart" uri="{C3380CC4-5D6E-409C-BE32-E72D297353CC}">
              <c16:uniqueId val="{00000001-90BE-4AFD-8C1F-7224C2C0E75D}"/>
            </c:ext>
          </c:extLst>
        </c:ser>
        <c:ser>
          <c:idx val="2"/>
          <c:order val="2"/>
          <c:tx>
            <c:strRef>
              <c:f>'analysis 4'!$Q$2</c:f>
              <c:strCache>
                <c:ptCount val="1"/>
                <c:pt idx="0">
                  <c:v>Inflation Rate of Essential Services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'analysis 4'!$N$3:$N$6</c:f>
              <c:strCache>
                <c:ptCount val="4"/>
                <c:pt idx="0">
                  <c:v>Date -2018-2019</c:v>
                </c:pt>
                <c:pt idx="1">
                  <c:v>Date -2019-2020</c:v>
                </c:pt>
                <c:pt idx="2">
                  <c:v>Date -2020-2021</c:v>
                </c:pt>
                <c:pt idx="3">
                  <c:v>Date -2021-2022</c:v>
                </c:pt>
              </c:strCache>
            </c:strRef>
          </c:cat>
          <c:val>
            <c:numRef>
              <c:f>'analysis 4'!$Q$3:$Q$6</c:f>
              <c:numCache>
                <c:formatCode>General</c:formatCode>
                <c:ptCount val="4"/>
                <c:pt idx="0">
                  <c:v>4.2561065877128339</c:v>
                </c:pt>
                <c:pt idx="1">
                  <c:v>3.6286522148916069</c:v>
                </c:pt>
                <c:pt idx="2">
                  <c:v>15.489096573208716</c:v>
                </c:pt>
                <c:pt idx="3">
                  <c:v>5.7735727341146159</c:v>
                </c:pt>
              </c:numCache>
            </c:numRef>
          </c:val>
          <c:extLst>
            <c:ext xmlns:c16="http://schemas.microsoft.com/office/drawing/2014/chart" uri="{C3380CC4-5D6E-409C-BE32-E72D297353CC}">
              <c16:uniqueId val="{00000002-90BE-4AFD-8C1F-7224C2C0E75D}"/>
            </c:ext>
          </c:extLst>
        </c:ser>
        <c:dLbls>
          <c:showLegendKey val="0"/>
          <c:showVal val="0"/>
          <c:showCatName val="0"/>
          <c:showSerName val="0"/>
          <c:showPercent val="0"/>
          <c:showBubbleSize val="0"/>
        </c:dLbls>
        <c:gapWidth val="315"/>
        <c:overlap val="-40"/>
        <c:axId val="512388176"/>
        <c:axId val="512388896"/>
      </c:barChart>
      <c:catAx>
        <c:axId val="5123881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2388896"/>
        <c:crosses val="autoZero"/>
        <c:auto val="1"/>
        <c:lblAlgn val="ctr"/>
        <c:lblOffset val="100"/>
        <c:noMultiLvlLbl val="0"/>
      </c:catAx>
      <c:valAx>
        <c:axId val="5123888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23881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CORRELATION OIL PRICE AND CATEGORIES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strRef>
              <c:f>'analysis 5'!$K$40</c:f>
              <c:strCache>
                <c:ptCount val="1"/>
                <c:pt idx="0">
                  <c:v>Correlation with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5'!$L$39:$AL$39</c:f>
              <c:strCache>
                <c:ptCount val="27"/>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pt idx="26">
                  <c:v>General index</c:v>
                </c:pt>
              </c:strCache>
            </c:strRef>
          </c:cat>
          <c:val>
            <c:numRef>
              <c:f>'analysis 5'!$L$40:$AL$40</c:f>
              <c:numCache>
                <c:formatCode>General</c:formatCode>
                <c:ptCount val="27"/>
                <c:pt idx="0">
                  <c:v>0.63088997235416833</c:v>
                </c:pt>
                <c:pt idx="1">
                  <c:v>0.82753719540868953</c:v>
                </c:pt>
                <c:pt idx="2">
                  <c:v>-0.14639742208981818</c:v>
                </c:pt>
                <c:pt idx="3">
                  <c:v>0.74329009060698747</c:v>
                </c:pt>
                <c:pt idx="4">
                  <c:v>0.78723545571256881</c:v>
                </c:pt>
                <c:pt idx="5">
                  <c:v>0.6347252186892316</c:v>
                </c:pt>
                <c:pt idx="6">
                  <c:v>0.37754361153438942</c:v>
                </c:pt>
                <c:pt idx="7">
                  <c:v>0.43414807898817631</c:v>
                </c:pt>
                <c:pt idx="8">
                  <c:v>0.61171682532713556</c:v>
                </c:pt>
                <c:pt idx="9">
                  <c:v>0.70393740002024474</c:v>
                </c:pt>
                <c:pt idx="10">
                  <c:v>0.79646189692557234</c:v>
                </c:pt>
                <c:pt idx="11">
                  <c:v>0.79948061402095216</c:v>
                </c:pt>
                <c:pt idx="12">
                  <c:v>0.78995192224178934</c:v>
                </c:pt>
                <c:pt idx="13">
                  <c:v>0.733903734187763</c:v>
                </c:pt>
                <c:pt idx="14">
                  <c:v>0.81629566264468512</c:v>
                </c:pt>
                <c:pt idx="15">
                  <c:v>0.82781491600452695</c:v>
                </c:pt>
                <c:pt idx="16">
                  <c:v>0.81837410204690808</c:v>
                </c:pt>
                <c:pt idx="17">
                  <c:v>0.78063058029432209</c:v>
                </c:pt>
                <c:pt idx="18">
                  <c:v>0.81418628660616954</c:v>
                </c:pt>
                <c:pt idx="19">
                  <c:v>0.80716233870322718</c:v>
                </c:pt>
                <c:pt idx="20">
                  <c:v>0.80102875734726775</c:v>
                </c:pt>
                <c:pt idx="21">
                  <c:v>0.85771119656863803</c:v>
                </c:pt>
                <c:pt idx="22">
                  <c:v>0.85038830413771771</c:v>
                </c:pt>
                <c:pt idx="23">
                  <c:v>0.74569728218230924</c:v>
                </c:pt>
                <c:pt idx="24">
                  <c:v>0.82220073027995932</c:v>
                </c:pt>
                <c:pt idx="25">
                  <c:v>0.83242811550906193</c:v>
                </c:pt>
                <c:pt idx="26">
                  <c:v>0.81506535749282327</c:v>
                </c:pt>
              </c:numCache>
            </c:numRef>
          </c:val>
          <c:extLst>
            <c:ext xmlns:c16="http://schemas.microsoft.com/office/drawing/2014/chart" uri="{C3380CC4-5D6E-409C-BE32-E72D297353CC}">
              <c16:uniqueId val="{00000000-7BC0-40D4-93ED-1982C14C525B}"/>
            </c:ext>
          </c:extLst>
        </c:ser>
        <c:ser>
          <c:idx val="1"/>
          <c:order val="1"/>
          <c:tx>
            <c:strRef>
              <c:f>'analysis 5'!$K$41</c:f>
              <c:strCache>
                <c:ptCount val="1"/>
                <c:pt idx="0">
                  <c:v>Correlation with Total Amount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5'!$L$39:$AL$39</c:f>
              <c:strCache>
                <c:ptCount val="27"/>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pt idx="26">
                  <c:v>General index</c:v>
                </c:pt>
              </c:strCache>
            </c:strRef>
          </c:cat>
          <c:val>
            <c:numRef>
              <c:f>'analysis 5'!$L$41:$AL$41</c:f>
              <c:numCache>
                <c:formatCode>General</c:formatCode>
                <c:ptCount val="27"/>
                <c:pt idx="0">
                  <c:v>0.62566397063783818</c:v>
                </c:pt>
                <c:pt idx="1">
                  <c:v>0.82089840720495966</c:v>
                </c:pt>
                <c:pt idx="2">
                  <c:v>-0.13982687696448276</c:v>
                </c:pt>
                <c:pt idx="3">
                  <c:v>0.74098829296939528</c:v>
                </c:pt>
                <c:pt idx="4">
                  <c:v>0.79325739767868586</c:v>
                </c:pt>
                <c:pt idx="5">
                  <c:v>0.60338890600947237</c:v>
                </c:pt>
                <c:pt idx="6">
                  <c:v>0.39035443114906321</c:v>
                </c:pt>
                <c:pt idx="7">
                  <c:v>0.43014413892069292</c:v>
                </c:pt>
                <c:pt idx="8">
                  <c:v>0.63090017199300286</c:v>
                </c:pt>
                <c:pt idx="9">
                  <c:v>0.69600111404273524</c:v>
                </c:pt>
                <c:pt idx="10">
                  <c:v>0.7997132194455604</c:v>
                </c:pt>
                <c:pt idx="11">
                  <c:v>0.79728219617820528</c:v>
                </c:pt>
                <c:pt idx="12">
                  <c:v>0.78972704297510465</c:v>
                </c:pt>
                <c:pt idx="13">
                  <c:v>0.73666275628725719</c:v>
                </c:pt>
                <c:pt idx="14">
                  <c:v>0.81371769490548262</c:v>
                </c:pt>
                <c:pt idx="15">
                  <c:v>0.82441195503144782</c:v>
                </c:pt>
                <c:pt idx="16">
                  <c:v>0.81562775910661578</c:v>
                </c:pt>
                <c:pt idx="17">
                  <c:v>0.77965208842248479</c:v>
                </c:pt>
                <c:pt idx="18">
                  <c:v>0.81072897349103723</c:v>
                </c:pt>
                <c:pt idx="19">
                  <c:v>0.80617072222577102</c:v>
                </c:pt>
                <c:pt idx="20">
                  <c:v>0.80204643724723756</c:v>
                </c:pt>
                <c:pt idx="21">
                  <c:v>0.86257711339658527</c:v>
                </c:pt>
                <c:pt idx="22">
                  <c:v>0.85009628569476692</c:v>
                </c:pt>
                <c:pt idx="23">
                  <c:v>0.74215075698574984</c:v>
                </c:pt>
                <c:pt idx="24">
                  <c:v>0.82041802003829001</c:v>
                </c:pt>
                <c:pt idx="25">
                  <c:v>0.8332672088780031</c:v>
                </c:pt>
                <c:pt idx="26">
                  <c:v>0.81458090179051079</c:v>
                </c:pt>
              </c:numCache>
            </c:numRef>
          </c:val>
          <c:extLst>
            <c:ext xmlns:c16="http://schemas.microsoft.com/office/drawing/2014/chart" uri="{C3380CC4-5D6E-409C-BE32-E72D297353CC}">
              <c16:uniqueId val="{00000001-7BC0-40D4-93ED-1982C14C525B}"/>
            </c:ext>
          </c:extLst>
        </c:ser>
        <c:ser>
          <c:idx val="2"/>
          <c:order val="2"/>
          <c:tx>
            <c:strRef>
              <c:f>'analysis 5'!$K$42</c:f>
              <c:strCache>
                <c:ptCount val="1"/>
                <c:pt idx="0">
                  <c:v>Correlation with FOB</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5'!$L$39:$AL$39</c:f>
              <c:strCache>
                <c:ptCount val="27"/>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pt idx="26">
                  <c:v>General index</c:v>
                </c:pt>
              </c:strCache>
            </c:strRef>
          </c:cat>
          <c:val>
            <c:numRef>
              <c:f>'analysis 5'!$L$42:$AL$42</c:f>
              <c:numCache>
                <c:formatCode>General</c:formatCode>
                <c:ptCount val="27"/>
                <c:pt idx="0">
                  <c:v>0.50782673928104072</c:v>
                </c:pt>
                <c:pt idx="1">
                  <c:v>0.84191192019168415</c:v>
                </c:pt>
                <c:pt idx="2">
                  <c:v>-0.2036224701816976</c:v>
                </c:pt>
                <c:pt idx="3">
                  <c:v>0.63436438765675618</c:v>
                </c:pt>
                <c:pt idx="4">
                  <c:v>0.82620259475660895</c:v>
                </c:pt>
                <c:pt idx="5">
                  <c:v>0.59139323105135344</c:v>
                </c:pt>
                <c:pt idx="6">
                  <c:v>0.35074653398470973</c:v>
                </c:pt>
                <c:pt idx="7">
                  <c:v>0.36427003644529937</c:v>
                </c:pt>
                <c:pt idx="8">
                  <c:v>0.56709729181669644</c:v>
                </c:pt>
                <c:pt idx="9">
                  <c:v>0.59053727341757856</c:v>
                </c:pt>
                <c:pt idx="10">
                  <c:v>0.75260403886846317</c:v>
                </c:pt>
                <c:pt idx="11">
                  <c:v>0.71816936627720163</c:v>
                </c:pt>
                <c:pt idx="12">
                  <c:v>0.71771593094288821</c:v>
                </c:pt>
                <c:pt idx="13">
                  <c:v>0.68867161411370348</c:v>
                </c:pt>
                <c:pt idx="14">
                  <c:v>0.73718735666666269</c:v>
                </c:pt>
                <c:pt idx="15">
                  <c:v>0.74869562674882939</c:v>
                </c:pt>
                <c:pt idx="16">
                  <c:v>0.7393580301817575</c:v>
                </c:pt>
                <c:pt idx="17">
                  <c:v>0.69787802521406628</c:v>
                </c:pt>
                <c:pt idx="18">
                  <c:v>0.73695384515053841</c:v>
                </c:pt>
                <c:pt idx="19">
                  <c:v>0.73037374022525769</c:v>
                </c:pt>
                <c:pt idx="20">
                  <c:v>0.73881995293995806</c:v>
                </c:pt>
                <c:pt idx="21">
                  <c:v>0.81520166268737893</c:v>
                </c:pt>
                <c:pt idx="22">
                  <c:v>0.78563045522865071</c:v>
                </c:pt>
                <c:pt idx="23">
                  <c:v>0.65313864265722477</c:v>
                </c:pt>
                <c:pt idx="24">
                  <c:v>0.73372084561697026</c:v>
                </c:pt>
                <c:pt idx="25">
                  <c:v>0.76560004102965407</c:v>
                </c:pt>
                <c:pt idx="26">
                  <c:v>0.74098995346190499</c:v>
                </c:pt>
              </c:numCache>
            </c:numRef>
          </c:val>
          <c:extLst>
            <c:ext xmlns:c16="http://schemas.microsoft.com/office/drawing/2014/chart" uri="{C3380CC4-5D6E-409C-BE32-E72D297353CC}">
              <c16:uniqueId val="{00000002-7BC0-40D4-93ED-1982C14C525B}"/>
            </c:ext>
          </c:extLst>
        </c:ser>
        <c:ser>
          <c:idx val="3"/>
          <c:order val="3"/>
          <c:tx>
            <c:strRef>
              <c:f>'analysis 5'!$K$43</c:f>
              <c:strCache>
                <c:ptCount val="1"/>
                <c:pt idx="0">
                  <c:v>Correlation with Amount(USD)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5'!$L$39:$AL$39</c:f>
              <c:strCache>
                <c:ptCount val="27"/>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pt idx="26">
                  <c:v>General index</c:v>
                </c:pt>
              </c:strCache>
            </c:strRef>
          </c:cat>
          <c:val>
            <c:numRef>
              <c:f>'analysis 5'!$L$43:$AL$43</c:f>
              <c:numCache>
                <c:formatCode>General</c:formatCode>
                <c:ptCount val="27"/>
                <c:pt idx="0">
                  <c:v>0.5423166437173399</c:v>
                </c:pt>
                <c:pt idx="1">
                  <c:v>0.80678823670018274</c:v>
                </c:pt>
                <c:pt idx="2">
                  <c:v>-0.1947487224906882</c:v>
                </c:pt>
                <c:pt idx="3">
                  <c:v>0.66674237415530457</c:v>
                </c:pt>
                <c:pt idx="4">
                  <c:v>0.79080232939044837</c:v>
                </c:pt>
                <c:pt idx="5">
                  <c:v>0.62056716411790092</c:v>
                </c:pt>
                <c:pt idx="6">
                  <c:v>0.34689904543035721</c:v>
                </c:pt>
                <c:pt idx="7">
                  <c:v>0.35562629067948842</c:v>
                </c:pt>
                <c:pt idx="8">
                  <c:v>0.57693889146970256</c:v>
                </c:pt>
                <c:pt idx="9">
                  <c:v>0.62072211887215722</c:v>
                </c:pt>
                <c:pt idx="10">
                  <c:v>0.74494062947658435</c:v>
                </c:pt>
                <c:pt idx="11">
                  <c:v>0.7333274296642136</c:v>
                </c:pt>
                <c:pt idx="12">
                  <c:v>0.72767202760513139</c:v>
                </c:pt>
                <c:pt idx="13">
                  <c:v>0.67518222917500637</c:v>
                </c:pt>
                <c:pt idx="14">
                  <c:v>0.75340382305569176</c:v>
                </c:pt>
                <c:pt idx="15">
                  <c:v>0.76519886346317456</c:v>
                </c:pt>
                <c:pt idx="16">
                  <c:v>0.75545121042032781</c:v>
                </c:pt>
                <c:pt idx="17">
                  <c:v>0.71398385201460413</c:v>
                </c:pt>
                <c:pt idx="18">
                  <c:v>0.75098147120515713</c:v>
                </c:pt>
                <c:pt idx="19">
                  <c:v>0.74440651476538511</c:v>
                </c:pt>
                <c:pt idx="20">
                  <c:v>0.74319375559349876</c:v>
                </c:pt>
                <c:pt idx="21">
                  <c:v>0.81733692066269026</c:v>
                </c:pt>
                <c:pt idx="22">
                  <c:v>0.79820547531044184</c:v>
                </c:pt>
                <c:pt idx="23">
                  <c:v>0.6702698048140362</c:v>
                </c:pt>
                <c:pt idx="24">
                  <c:v>0.76034982390762229</c:v>
                </c:pt>
                <c:pt idx="25">
                  <c:v>0.77627362728304694</c:v>
                </c:pt>
                <c:pt idx="26">
                  <c:v>0.75326517148172878</c:v>
                </c:pt>
              </c:numCache>
            </c:numRef>
          </c:val>
          <c:extLst>
            <c:ext xmlns:c16="http://schemas.microsoft.com/office/drawing/2014/chart" uri="{C3380CC4-5D6E-409C-BE32-E72D297353CC}">
              <c16:uniqueId val="{00000003-7BC0-40D4-93ED-1982C14C525B}"/>
            </c:ext>
          </c:extLst>
        </c:ser>
        <c:ser>
          <c:idx val="4"/>
          <c:order val="4"/>
          <c:tx>
            <c:strRef>
              <c:f>'analysis 5'!$K$44</c:f>
              <c:strCache>
                <c:ptCount val="1"/>
                <c:pt idx="0">
                  <c:v>Correlation with Total Amount(USD)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5'!$L$39:$AL$39</c:f>
              <c:strCache>
                <c:ptCount val="27"/>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pt idx="26">
                  <c:v>General index</c:v>
                </c:pt>
              </c:strCache>
            </c:strRef>
          </c:cat>
          <c:val>
            <c:numRef>
              <c:f>'analysis 5'!$L$44:$AL$44</c:f>
              <c:numCache>
                <c:formatCode>General</c:formatCode>
                <c:ptCount val="27"/>
                <c:pt idx="0">
                  <c:v>0.35332752045261651</c:v>
                </c:pt>
                <c:pt idx="1">
                  <c:v>0.7128467526089175</c:v>
                </c:pt>
                <c:pt idx="2">
                  <c:v>-0.21705552296021741</c:v>
                </c:pt>
                <c:pt idx="3">
                  <c:v>0.4994637565522328</c:v>
                </c:pt>
                <c:pt idx="4">
                  <c:v>0.78167042955884158</c:v>
                </c:pt>
                <c:pt idx="5">
                  <c:v>0.45051019401191239</c:v>
                </c:pt>
                <c:pt idx="6">
                  <c:v>0.32263430824735873</c:v>
                </c:pt>
                <c:pt idx="7">
                  <c:v>0.21264006297414376</c:v>
                </c:pt>
                <c:pt idx="8">
                  <c:v>0.56104530976501565</c:v>
                </c:pt>
                <c:pt idx="9">
                  <c:v>0.42654296102870148</c:v>
                </c:pt>
                <c:pt idx="10">
                  <c:v>0.64623209843410623</c:v>
                </c:pt>
                <c:pt idx="11">
                  <c:v>0.5889230978518043</c:v>
                </c:pt>
                <c:pt idx="12">
                  <c:v>0.59064433120860593</c:v>
                </c:pt>
                <c:pt idx="13">
                  <c:v>0.56565586709261173</c:v>
                </c:pt>
                <c:pt idx="14">
                  <c:v>0.61527251039655906</c:v>
                </c:pt>
                <c:pt idx="15">
                  <c:v>0.62305773449244151</c:v>
                </c:pt>
                <c:pt idx="16">
                  <c:v>0.6165848396333472</c:v>
                </c:pt>
                <c:pt idx="17">
                  <c:v>0.569861659670162</c:v>
                </c:pt>
                <c:pt idx="18">
                  <c:v>0.59886636892463441</c:v>
                </c:pt>
                <c:pt idx="19">
                  <c:v>0.61185918969432729</c:v>
                </c:pt>
                <c:pt idx="20">
                  <c:v>0.62670790454344427</c:v>
                </c:pt>
              </c:numCache>
            </c:numRef>
          </c:val>
          <c:extLst>
            <c:ext xmlns:c16="http://schemas.microsoft.com/office/drawing/2014/chart" uri="{C3380CC4-5D6E-409C-BE32-E72D297353CC}">
              <c16:uniqueId val="{00000004-7BC0-40D4-93ED-1982C14C525B}"/>
            </c:ext>
          </c:extLst>
        </c:ser>
        <c:dLbls>
          <c:showLegendKey val="0"/>
          <c:showVal val="0"/>
          <c:showCatName val="0"/>
          <c:showSerName val="0"/>
          <c:showPercent val="0"/>
          <c:showBubbleSize val="0"/>
        </c:dLbls>
        <c:gapWidth val="150"/>
        <c:overlap val="100"/>
        <c:axId val="555901000"/>
        <c:axId val="555896680"/>
      </c:barChart>
      <c:catAx>
        <c:axId val="5559010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5896680"/>
        <c:crosses val="autoZero"/>
        <c:auto val="1"/>
        <c:lblAlgn val="ctr"/>
        <c:lblOffset val="100"/>
        <c:noMultiLvlLbl val="0"/>
      </c:catAx>
      <c:valAx>
        <c:axId val="5558966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5901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val">
        <cx:f dir="row">_xlchart.v1.1</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Food Category</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waterfall" uniqueId="{3E04362A-D4E7-463E-BE22-4E0C34FF08E1}">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FOOD M-o-M Changes ending May'23  (Rural + Urban)</a:t>
            </a:r>
            <a:endParaRPr lang="en-IN">
              <a:effectLst/>
            </a:endParaRPr>
          </a:p>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waterfall" uniqueId="{86D05A2F-E602-4AC7-81E8-D257D15F246E}">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 dir="row">_xlchart.v1.4</cx:f>
      </cx:strDim>
      <cx:numDim type="val">
        <cx:f dir="row">_xlchart.v1.5</cx:f>
      </cx:numDim>
    </cx:data>
  </cx:chartData>
  <cx:chart>
    <cx:title pos="t" align="ctr" overlay="0">
      <cx:tx>
        <cx:rich>
          <a:bodyPr spcFirstLastPara="1" vertOverflow="ellipsis" horzOverflow="overflow" wrap="square" lIns="0" tIns="0" rIns="0" bIns="0" anchor="ctr" anchorCtr="1"/>
          <a:lstStyle/>
          <a:p>
            <a:pPr algn="ctr" rtl="0">
              <a:defRPr>
                <a:solidFill>
                  <a:schemeClr val="accent6">
                    <a:lumMod val="75000"/>
                  </a:schemeClr>
                </a:solidFill>
              </a:defRPr>
            </a:pPr>
            <a:r>
              <a:rPr lang="en-US" sz="1400" b="1" i="0" u="none" strike="noStrike" baseline="0">
                <a:solidFill>
                  <a:schemeClr val="accent6">
                    <a:lumMod val="75000"/>
                  </a:schemeClr>
                </a:solidFill>
                <a:latin typeface="Calibri" panose="020F0502020204030204"/>
              </a:rPr>
              <a:t>Food Category</a:t>
            </a:r>
          </a:p>
          <a:p>
            <a:pPr algn="ctr" rtl="0">
              <a:defRPr>
                <a:solidFill>
                  <a:schemeClr val="accent6">
                    <a:lumMod val="75000"/>
                  </a:schemeClr>
                </a:solidFill>
              </a:defRPr>
            </a:pPr>
            <a:endParaRPr lang="en-US" sz="1400" b="1" i="0" u="none" strike="noStrike" baseline="0">
              <a:solidFill>
                <a:schemeClr val="accent6">
                  <a:lumMod val="75000"/>
                </a:schemeClr>
              </a:solidFill>
              <a:latin typeface="Calibri" panose="020F0502020204030204"/>
            </a:endParaRPr>
          </a:p>
        </cx:rich>
      </cx:tx>
    </cx:title>
    <cx:plotArea>
      <cx:plotAreaRegion>
        <cx:series layoutId="waterfall" uniqueId="{3E04362A-D4E7-463E-BE22-4E0C34FF08E1}">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_xlchart.v1.7</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solidFill>
                  <a:schemeClr val="accent6">
                    <a:lumMod val="75000"/>
                  </a:schemeClr>
                </a:solidFill>
              </a:defRPr>
            </a:pPr>
            <a:r>
              <a:rPr lang="en-US" sz="1400" b="1" i="0" u="none" strike="noStrike" baseline="0">
                <a:solidFill>
                  <a:schemeClr val="accent6">
                    <a:lumMod val="75000"/>
                  </a:schemeClr>
                </a:solidFill>
                <a:effectLst/>
                <a:latin typeface="Calibri" panose="020F0502020204030204"/>
                <a:ea typeface="Calibri" panose="020F0502020204030204" pitchFamily="34" charset="0"/>
                <a:cs typeface="Calibri" panose="020F0502020204030204" pitchFamily="34" charset="0"/>
              </a:rPr>
              <a:t>FOOD M-o-M Changes ending May'23  (Rural + Urban)</a:t>
            </a:r>
            <a:endParaRPr lang="en-IN" b="1">
              <a:solidFill>
                <a:schemeClr val="accent6">
                  <a:lumMod val="75000"/>
                </a:schemeClr>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accent6">
                    <a:lumMod val="75000"/>
                  </a:schemeClr>
                </a:solidFill>
              </a:defRPr>
            </a:pPr>
            <a:endParaRPr lang="en-US" sz="1400" b="1" i="0" u="none" strike="noStrike" baseline="0">
              <a:solidFill>
                <a:schemeClr val="accent6">
                  <a:lumMod val="75000"/>
                </a:schemeClr>
              </a:solidFill>
              <a:latin typeface="Calibri" panose="020F0502020204030204"/>
            </a:endParaRPr>
          </a:p>
        </cx:rich>
      </cx:tx>
    </cx:title>
    <cx:plotArea>
      <cx:plotAreaRegion>
        <cx:series layoutId="waterfall" uniqueId="{86D05A2F-E602-4AC7-81E8-D257D15F246E}">
          <cx:dataId val="0"/>
          <cx:layoutPr>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0.xml"/><Relationship Id="rId3" Type="http://schemas.microsoft.com/office/2007/relationships/hdphoto" Target="../media/hdphoto1.wdp"/><Relationship Id="rId7" Type="http://schemas.openxmlformats.org/officeDocument/2006/relationships/chart" Target="../charts/chart9.xml"/><Relationship Id="rId2" Type="http://schemas.openxmlformats.org/officeDocument/2006/relationships/image" Target="../media/image1.png"/><Relationship Id="rId1" Type="http://schemas.openxmlformats.org/officeDocument/2006/relationships/chart" Target="../charts/chart7.xml"/><Relationship Id="rId6" Type="http://schemas.microsoft.com/office/2014/relationships/chartEx" Target="../charts/chartEx4.xml"/><Relationship Id="rId5" Type="http://schemas.microsoft.com/office/2014/relationships/chartEx" Target="../charts/chartEx3.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219075</xdr:colOff>
      <xdr:row>11</xdr:row>
      <xdr:rowOff>171449</xdr:rowOff>
    </xdr:from>
    <xdr:to>
      <xdr:col>8</xdr:col>
      <xdr:colOff>219075</xdr:colOff>
      <xdr:row>28</xdr:row>
      <xdr:rowOff>95250</xdr:rowOff>
    </xdr:to>
    <xdr:graphicFrame macro="">
      <xdr:nvGraphicFramePr>
        <xdr:cNvPr id="3" name="Chart 2">
          <a:extLst>
            <a:ext uri="{FF2B5EF4-FFF2-40B4-BE49-F238E27FC236}">
              <a16:creationId xmlns:a16="http://schemas.microsoft.com/office/drawing/2014/main" id="{C63E05B3-FD8B-4E3D-E475-9F51F9B6C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238125</xdr:colOff>
      <xdr:row>11</xdr:row>
      <xdr:rowOff>152399</xdr:rowOff>
    </xdr:from>
    <xdr:to>
      <xdr:col>17</xdr:col>
      <xdr:colOff>276225</xdr:colOff>
      <xdr:row>28</xdr:row>
      <xdr:rowOff>85725</xdr:rowOff>
    </xdr:to>
    <xdr:graphicFrame macro="">
      <xdr:nvGraphicFramePr>
        <xdr:cNvPr id="4" name="Chart 3">
          <a:extLst>
            <a:ext uri="{FF2B5EF4-FFF2-40B4-BE49-F238E27FC236}">
              <a16:creationId xmlns:a16="http://schemas.microsoft.com/office/drawing/2014/main" id="{10B0809E-165C-4DE0-9F5C-2B6188B5C7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85725</xdr:colOff>
      <xdr:row>28</xdr:row>
      <xdr:rowOff>180974</xdr:rowOff>
    </xdr:from>
    <xdr:to>
      <xdr:col>13</xdr:col>
      <xdr:colOff>85725</xdr:colOff>
      <xdr:row>45</xdr:row>
      <xdr:rowOff>133349</xdr:rowOff>
    </xdr:to>
    <xdr:graphicFrame macro="">
      <xdr:nvGraphicFramePr>
        <xdr:cNvPr id="5" name="Chart 4">
          <a:extLst>
            <a:ext uri="{FF2B5EF4-FFF2-40B4-BE49-F238E27FC236}">
              <a16:creationId xmlns:a16="http://schemas.microsoft.com/office/drawing/2014/main" id="{94593581-C742-EFE3-56C7-519014356F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114300</xdr:colOff>
      <xdr:row>1</xdr:row>
      <xdr:rowOff>133350</xdr:rowOff>
    </xdr:from>
    <xdr:to>
      <xdr:col>14</xdr:col>
      <xdr:colOff>419100</xdr:colOff>
      <xdr:row>16</xdr:row>
      <xdr:rowOff>19050</xdr:rowOff>
    </xdr:to>
    <xdr:graphicFrame macro="">
      <xdr:nvGraphicFramePr>
        <xdr:cNvPr id="2" name="Chart 1">
          <a:extLst>
            <a:ext uri="{FF2B5EF4-FFF2-40B4-BE49-F238E27FC236}">
              <a16:creationId xmlns:a16="http://schemas.microsoft.com/office/drawing/2014/main" id="{225FD5AA-1388-4D34-5454-2FB9C115E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790574</xdr:colOff>
      <xdr:row>40</xdr:row>
      <xdr:rowOff>104774</xdr:rowOff>
    </xdr:from>
    <xdr:to>
      <xdr:col>10</xdr:col>
      <xdr:colOff>752474</xdr:colOff>
      <xdr:row>62</xdr:row>
      <xdr:rowOff>123825</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E20A374F-3AF5-F5D0-3DA6-D7BF75C027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90574" y="7724774"/>
              <a:ext cx="8086725" cy="421005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152400</xdr:colOff>
      <xdr:row>63</xdr:row>
      <xdr:rowOff>152400</xdr:rowOff>
    </xdr:from>
    <xdr:to>
      <xdr:col>14</xdr:col>
      <xdr:colOff>1390650</xdr:colOff>
      <xdr:row>87</xdr:row>
      <xdr:rowOff>95250</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D740758C-0102-84AB-A354-2B2213AA94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657850" y="12153900"/>
              <a:ext cx="9077325" cy="45148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13</xdr:col>
      <xdr:colOff>942975</xdr:colOff>
      <xdr:row>6</xdr:row>
      <xdr:rowOff>171450</xdr:rowOff>
    </xdr:from>
    <xdr:to>
      <xdr:col>14</xdr:col>
      <xdr:colOff>1104900</xdr:colOff>
      <xdr:row>21</xdr:row>
      <xdr:rowOff>57150</xdr:rowOff>
    </xdr:to>
    <xdr:graphicFrame macro="">
      <xdr:nvGraphicFramePr>
        <xdr:cNvPr id="2" name="Chart 1">
          <a:extLst>
            <a:ext uri="{FF2B5EF4-FFF2-40B4-BE49-F238E27FC236}">
              <a16:creationId xmlns:a16="http://schemas.microsoft.com/office/drawing/2014/main" id="{5BBAED40-DD59-0127-7E1D-B0BE39E333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613103</xdr:colOff>
      <xdr:row>46</xdr:row>
      <xdr:rowOff>166631</xdr:rowOff>
    </xdr:from>
    <xdr:to>
      <xdr:col>20</xdr:col>
      <xdr:colOff>153275</xdr:colOff>
      <xdr:row>69</xdr:row>
      <xdr:rowOff>164224</xdr:rowOff>
    </xdr:to>
    <xdr:graphicFrame macro="">
      <xdr:nvGraphicFramePr>
        <xdr:cNvPr id="3" name="Chart 2">
          <a:extLst>
            <a:ext uri="{FF2B5EF4-FFF2-40B4-BE49-F238E27FC236}">
              <a16:creationId xmlns:a16="http://schemas.microsoft.com/office/drawing/2014/main" id="{8AB6E433-6973-1918-4996-305FE164AC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395605</xdr:colOff>
      <xdr:row>1</xdr:row>
      <xdr:rowOff>125685</xdr:rowOff>
    </xdr:from>
    <xdr:to>
      <xdr:col>19</xdr:col>
      <xdr:colOff>440843</xdr:colOff>
      <xdr:row>5</xdr:row>
      <xdr:rowOff>182836</xdr:rowOff>
    </xdr:to>
    <xdr:sp macro="" textlink="">
      <xdr:nvSpPr>
        <xdr:cNvPr id="2" name="Rectangle: Rounded Corners 1">
          <a:extLst>
            <a:ext uri="{FF2B5EF4-FFF2-40B4-BE49-F238E27FC236}">
              <a16:creationId xmlns:a16="http://schemas.microsoft.com/office/drawing/2014/main" id="{BDDD9CD3-F3D2-D218-0A1F-52A013810200}"/>
            </a:ext>
          </a:extLst>
        </xdr:cNvPr>
        <xdr:cNvSpPr/>
      </xdr:nvSpPr>
      <xdr:spPr>
        <a:xfrm>
          <a:off x="1008708" y="311806"/>
          <a:ext cx="11081101" cy="801633"/>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t>India</a:t>
          </a:r>
          <a:r>
            <a:rPr lang="en-IN" sz="2800" baseline="0"/>
            <a:t> Consumer Price Index Inflation</a:t>
          </a:r>
          <a:endParaRPr lang="en-IN" sz="2800"/>
        </a:p>
      </xdr:txBody>
    </xdr:sp>
    <xdr:clientData/>
  </xdr:twoCellAnchor>
  <xdr:twoCellAnchor>
    <xdr:from>
      <xdr:col>1</xdr:col>
      <xdr:colOff>416035</xdr:colOff>
      <xdr:row>6</xdr:row>
      <xdr:rowOff>64266</xdr:rowOff>
    </xdr:from>
    <xdr:to>
      <xdr:col>19</xdr:col>
      <xdr:colOff>403006</xdr:colOff>
      <xdr:row>8</xdr:row>
      <xdr:rowOff>30545</xdr:rowOff>
    </xdr:to>
    <xdr:sp macro="" textlink="">
      <xdr:nvSpPr>
        <xdr:cNvPr id="4" name="Rectangle: Rounded Corners 3">
          <a:extLst>
            <a:ext uri="{FF2B5EF4-FFF2-40B4-BE49-F238E27FC236}">
              <a16:creationId xmlns:a16="http://schemas.microsoft.com/office/drawing/2014/main" id="{969A1C7F-9DA8-4104-7E8F-EF3CAC8D7F52}"/>
            </a:ext>
          </a:extLst>
        </xdr:cNvPr>
        <xdr:cNvSpPr/>
      </xdr:nvSpPr>
      <xdr:spPr>
        <a:xfrm>
          <a:off x="1029138" y="1180990"/>
          <a:ext cx="11022834" cy="338521"/>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"Analyzed Data from 2013 to 2023 for Insights"</a:t>
          </a:r>
          <a:endParaRPr lang="en-IN" sz="1100"/>
        </a:p>
      </xdr:txBody>
    </xdr:sp>
    <xdr:clientData/>
  </xdr:twoCellAnchor>
  <xdr:twoCellAnchor>
    <xdr:from>
      <xdr:col>1</xdr:col>
      <xdr:colOff>383190</xdr:colOff>
      <xdr:row>8</xdr:row>
      <xdr:rowOff>92841</xdr:rowOff>
    </xdr:from>
    <xdr:to>
      <xdr:col>10</xdr:col>
      <xdr:colOff>383190</xdr:colOff>
      <xdr:row>25</xdr:row>
      <xdr:rowOff>49596</xdr:rowOff>
    </xdr:to>
    <xdr:graphicFrame macro="">
      <xdr:nvGraphicFramePr>
        <xdr:cNvPr id="10" name="Chart 9">
          <a:extLst>
            <a:ext uri="{FF2B5EF4-FFF2-40B4-BE49-F238E27FC236}">
              <a16:creationId xmlns:a16="http://schemas.microsoft.com/office/drawing/2014/main" id="{AC961F92-8F68-4A2C-926D-79D5B4A11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427579</xdr:colOff>
      <xdr:row>8</xdr:row>
      <xdr:rowOff>89603</xdr:rowOff>
    </xdr:from>
    <xdr:to>
      <xdr:col>19</xdr:col>
      <xdr:colOff>369646</xdr:colOff>
      <xdr:row>25</xdr:row>
      <xdr:rowOff>54742</xdr:rowOff>
    </xdr:to>
    <xdr:sp macro="" textlink="">
      <xdr:nvSpPr>
        <xdr:cNvPr id="11" name="Rectangle: Rounded Corners 10">
          <a:extLst>
            <a:ext uri="{FF2B5EF4-FFF2-40B4-BE49-F238E27FC236}">
              <a16:creationId xmlns:a16="http://schemas.microsoft.com/office/drawing/2014/main" id="{49C70749-442C-7106-1E91-83F3EF3E61A1}"/>
            </a:ext>
          </a:extLst>
        </xdr:cNvPr>
        <xdr:cNvSpPr/>
      </xdr:nvSpPr>
      <xdr:spPr>
        <a:xfrm>
          <a:off x="6558613" y="1578569"/>
          <a:ext cx="5459999" cy="3129190"/>
        </a:xfrm>
        <a:prstGeom prst="roundRect">
          <a:avLst>
            <a:gd name="adj" fmla="val 0"/>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p>
        <a:p>
          <a:pPr algn="l"/>
          <a:endParaRPr lang="en-IN" sz="1800"/>
        </a:p>
        <a:p>
          <a:pPr algn="l"/>
          <a:r>
            <a:rPr lang="en-IN" sz="1800"/>
            <a:t>Food Category has largest contribution almost half of</a:t>
          </a:r>
          <a:r>
            <a:rPr lang="en-IN" sz="1800" baseline="0"/>
            <a:t> the CPI</a:t>
          </a:r>
        </a:p>
        <a:p>
          <a:pPr algn="l"/>
          <a:endParaRPr lang="en-IN" sz="1800"/>
        </a:p>
        <a:p>
          <a:pPr algn="l"/>
          <a:r>
            <a:rPr lang="en-IN" sz="1800"/>
            <a:t>Clothing,Luxuray,Housing</a:t>
          </a:r>
          <a:r>
            <a:rPr lang="en-IN" sz="1800" baseline="0"/>
            <a:t> other major contributors</a:t>
          </a:r>
        </a:p>
        <a:p>
          <a:pPr algn="l"/>
          <a:endParaRPr lang="en-IN" sz="1800" baseline="0"/>
        </a:p>
        <a:p>
          <a:pPr algn="l"/>
          <a:r>
            <a:rPr lang="en-IN" sz="1800" baseline="0"/>
            <a:t>Rural and Urban also give same insights</a:t>
          </a:r>
          <a:endParaRPr lang="en-IN" sz="1800"/>
        </a:p>
      </xdr:txBody>
    </xdr:sp>
    <xdr:clientData/>
  </xdr:twoCellAnchor>
  <xdr:twoCellAnchor>
    <xdr:from>
      <xdr:col>10</xdr:col>
      <xdr:colOff>544911</xdr:colOff>
      <xdr:row>7</xdr:row>
      <xdr:rowOff>46202</xdr:rowOff>
    </xdr:from>
    <xdr:to>
      <xdr:col>13</xdr:col>
      <xdr:colOff>208032</xdr:colOff>
      <xdr:row>9</xdr:row>
      <xdr:rowOff>103352</xdr:rowOff>
    </xdr:to>
    <xdr:sp macro="" textlink="">
      <xdr:nvSpPr>
        <xdr:cNvPr id="13" name="Rectangle: Rounded Corners 12">
          <a:extLst>
            <a:ext uri="{FF2B5EF4-FFF2-40B4-BE49-F238E27FC236}">
              <a16:creationId xmlns:a16="http://schemas.microsoft.com/office/drawing/2014/main" id="{30A8AB17-ED53-B8B9-6679-50DBC870BFE4}"/>
            </a:ext>
          </a:extLst>
        </xdr:cNvPr>
        <xdr:cNvSpPr/>
      </xdr:nvSpPr>
      <xdr:spPr>
        <a:xfrm>
          <a:off x="6675945" y="1349047"/>
          <a:ext cx="1502432" cy="429391"/>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11</xdr:col>
      <xdr:colOff>82988</xdr:colOff>
      <xdr:row>7</xdr:row>
      <xdr:rowOff>13356</xdr:rowOff>
    </xdr:from>
    <xdr:to>
      <xdr:col>12</xdr:col>
      <xdr:colOff>488916</xdr:colOff>
      <xdr:row>9</xdr:row>
      <xdr:rowOff>126175</xdr:rowOff>
    </xdr:to>
    <xdr:pic>
      <xdr:nvPicPr>
        <xdr:cNvPr id="14" name="Picture 13">
          <a:extLst>
            <a:ext uri="{FF2B5EF4-FFF2-40B4-BE49-F238E27FC236}">
              <a16:creationId xmlns:a16="http://schemas.microsoft.com/office/drawing/2014/main" id="{59BAD948-DAD3-7354-CE44-AEACFC24F561}"/>
            </a:ext>
          </a:extLst>
        </xdr:cNvPr>
        <xdr:cNvPicPr>
          <a:picLocks noChangeAspect="1"/>
        </xdr:cNvPicPr>
      </xdr:nvPicPr>
      <xdr:blipFill>
        <a:blip xmlns:r="http://schemas.openxmlformats.org/officeDocument/2006/relationships" r:embed="rId2">
          <a:biLevel thresh="75000"/>
          <a:extLst>
            <a:ext uri="{BEBA8EAE-BF5A-486C-A8C5-ECC9F3942E4B}">
              <a14:imgProps xmlns:a14="http://schemas.microsoft.com/office/drawing/2010/main">
                <a14:imgLayer r:embed="rId3">
                  <a14:imgEffect>
                    <a14:brightnessContrast bright="-40000"/>
                  </a14:imgEffect>
                </a14:imgLayer>
              </a14:imgProps>
            </a:ext>
          </a:extLst>
        </a:blip>
        <a:stretch>
          <a:fillRect/>
        </a:stretch>
      </xdr:blipFill>
      <xdr:spPr>
        <a:xfrm>
          <a:off x="6827126" y="1316201"/>
          <a:ext cx="1019031" cy="485060"/>
        </a:xfrm>
        <a:prstGeom prst="rect">
          <a:avLst/>
        </a:prstGeom>
      </xdr:spPr>
    </xdr:pic>
    <xdr:clientData/>
  </xdr:twoCellAnchor>
  <xdr:twoCellAnchor>
    <xdr:from>
      <xdr:col>1</xdr:col>
      <xdr:colOff>391293</xdr:colOff>
      <xdr:row>25</xdr:row>
      <xdr:rowOff>105213</xdr:rowOff>
    </xdr:from>
    <xdr:to>
      <xdr:col>19</xdr:col>
      <xdr:colOff>419867</xdr:colOff>
      <xdr:row>28</xdr:row>
      <xdr:rowOff>61754</xdr:rowOff>
    </xdr:to>
    <xdr:sp macro="" textlink="">
      <xdr:nvSpPr>
        <xdr:cNvPr id="15" name="Rectangle: Rounded Corners 14">
          <a:extLst>
            <a:ext uri="{FF2B5EF4-FFF2-40B4-BE49-F238E27FC236}">
              <a16:creationId xmlns:a16="http://schemas.microsoft.com/office/drawing/2014/main" id="{9ACD05C1-143E-9832-373B-40A8EB442195}"/>
            </a:ext>
          </a:extLst>
        </xdr:cNvPr>
        <xdr:cNvSpPr/>
      </xdr:nvSpPr>
      <xdr:spPr>
        <a:xfrm>
          <a:off x="1004396" y="4758230"/>
          <a:ext cx="11064437" cy="514903"/>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Based on </a:t>
          </a:r>
          <a:r>
            <a:rPr lang="en-IN" sz="1100" baseline="0"/>
            <a:t> </a:t>
          </a:r>
          <a:r>
            <a:rPr lang="en-IN" sz="1100"/>
            <a:t>may 2023 we  create this pie chart .  </a:t>
          </a:r>
          <a:r>
            <a:rPr lang="en-IN"/>
            <a:t>"We combined similar categories, such as merging all food-related categories into one and combining housing and household categories. In the luxury segment, we grouped personal care and amusement park categories together."</a:t>
          </a:r>
          <a:endParaRPr lang="en-IN" sz="1100"/>
        </a:p>
      </xdr:txBody>
    </xdr:sp>
    <xdr:clientData/>
  </xdr:twoCellAnchor>
  <xdr:twoCellAnchor>
    <xdr:from>
      <xdr:col>1</xdr:col>
      <xdr:colOff>406650</xdr:colOff>
      <xdr:row>28</xdr:row>
      <xdr:rowOff>144672</xdr:rowOff>
    </xdr:from>
    <xdr:to>
      <xdr:col>10</xdr:col>
      <xdr:colOff>372632</xdr:colOff>
      <xdr:row>45</xdr:row>
      <xdr:rowOff>3909</xdr:rowOff>
    </xdr:to>
    <xdr:graphicFrame macro="">
      <xdr:nvGraphicFramePr>
        <xdr:cNvPr id="16" name="Chart 15">
          <a:extLst>
            <a:ext uri="{FF2B5EF4-FFF2-40B4-BE49-F238E27FC236}">
              <a16:creationId xmlns:a16="http://schemas.microsoft.com/office/drawing/2014/main" id="{0DD15347-9502-4F9C-9F03-6E3099F7D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397658</xdr:colOff>
      <xdr:row>28</xdr:row>
      <xdr:rowOff>144282</xdr:rowOff>
    </xdr:from>
    <xdr:to>
      <xdr:col>19</xdr:col>
      <xdr:colOff>340506</xdr:colOff>
      <xdr:row>45</xdr:row>
      <xdr:rowOff>3519</xdr:rowOff>
    </xdr:to>
    <xdr:sp macro="" textlink="">
      <xdr:nvSpPr>
        <xdr:cNvPr id="18" name="Rectangle: Rounded Corners 17">
          <a:extLst>
            <a:ext uri="{FF2B5EF4-FFF2-40B4-BE49-F238E27FC236}">
              <a16:creationId xmlns:a16="http://schemas.microsoft.com/office/drawing/2014/main" id="{B6CC0118-4E26-415A-BA8F-339162DA8C9F}"/>
            </a:ext>
          </a:extLst>
        </xdr:cNvPr>
        <xdr:cNvSpPr/>
      </xdr:nvSpPr>
      <xdr:spPr>
        <a:xfrm>
          <a:off x="6528692" y="5355661"/>
          <a:ext cx="5460780" cy="3023289"/>
        </a:xfrm>
        <a:prstGeom prst="roundRect">
          <a:avLst>
            <a:gd name="adj" fmla="val 0"/>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p>
        <a:p>
          <a:pPr algn="l"/>
          <a:r>
            <a:rPr lang="en-IN" sz="1800" b="0" i="0" u="none" strike="noStrike">
              <a:solidFill>
                <a:schemeClr val="lt1"/>
              </a:solidFill>
              <a:effectLst/>
              <a:latin typeface="+mn-lt"/>
              <a:ea typeface="+mn-ea"/>
              <a:cs typeface="+mn-cs"/>
            </a:rPr>
            <a:t>The heighest year on year growth rate observed in 2019</a:t>
          </a:r>
        </a:p>
        <a:p>
          <a:endParaRPr lang="en-IN" sz="1600"/>
        </a:p>
        <a:p>
          <a:r>
            <a:rPr lang="en-IN" sz="1600"/>
            <a:t>Several factors contributed to India's inflation in 2019:</a:t>
          </a:r>
        </a:p>
        <a:p>
          <a:r>
            <a:rPr lang="en-IN" sz="1200"/>
            <a:t> </a:t>
          </a:r>
          <a:r>
            <a:rPr lang="en-IN" sz="1400"/>
            <a:t>1.Erratic monsoons and excessive rains damaged crops, increasing food prices.</a:t>
          </a:r>
        </a:p>
        <a:p>
          <a:r>
            <a:rPr lang="en-IN" sz="1400"/>
            <a:t> 2.Volatile global crude oil prices, due to geopolitical tensions, raised domestic fuel costs.</a:t>
          </a:r>
        </a:p>
        <a:p>
          <a:r>
            <a:rPr lang="en-IN" sz="1400"/>
            <a:t> 3.Depreciation of the Indian Rupee made imports more expensive.</a:t>
          </a:r>
        </a:p>
        <a:p>
          <a:r>
            <a:rPr lang="en-IN" sz="1400"/>
            <a:t> 4.Demand-supply mismatches in certain sectors led to higher</a:t>
          </a:r>
        </a:p>
        <a:p>
          <a:r>
            <a:rPr lang="en-IN" sz="1400"/>
            <a:t> prices.</a:t>
          </a:r>
        </a:p>
        <a:p>
          <a:r>
            <a:rPr lang="en-IN" sz="1400"/>
            <a:t> 5.Government policies, such as the GST implementation, and the global economic   slowdown also impacted inflation."</a:t>
          </a:r>
        </a:p>
        <a:p>
          <a:pPr algn="l"/>
          <a:r>
            <a:rPr lang="en-IN" sz="1800"/>
            <a:t> </a:t>
          </a:r>
          <a:endParaRPr lang="en-IN" sz="1800" baseline="0"/>
        </a:p>
      </xdr:txBody>
    </xdr:sp>
    <xdr:clientData/>
  </xdr:twoCellAnchor>
  <xdr:twoCellAnchor>
    <xdr:from>
      <xdr:col>10</xdr:col>
      <xdr:colOff>576929</xdr:colOff>
      <xdr:row>27</xdr:row>
      <xdr:rowOff>77420</xdr:rowOff>
    </xdr:from>
    <xdr:to>
      <xdr:col>13</xdr:col>
      <xdr:colOff>103607</xdr:colOff>
      <xdr:row>29</xdr:row>
      <xdr:rowOff>179473</xdr:rowOff>
    </xdr:to>
    <xdr:sp macro="" textlink="">
      <xdr:nvSpPr>
        <xdr:cNvPr id="19" name="Rectangle: Rounded Corners 18">
          <a:extLst>
            <a:ext uri="{FF2B5EF4-FFF2-40B4-BE49-F238E27FC236}">
              <a16:creationId xmlns:a16="http://schemas.microsoft.com/office/drawing/2014/main" id="{44D83DDD-BDB4-4D81-AD39-9F11E1059C43}"/>
            </a:ext>
          </a:extLst>
        </xdr:cNvPr>
        <xdr:cNvSpPr/>
      </xdr:nvSpPr>
      <xdr:spPr>
        <a:xfrm>
          <a:off x="6707963" y="5102679"/>
          <a:ext cx="1365989" cy="474294"/>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tx1"/>
              </a:solidFill>
            </a:rPr>
            <a:t>   </a:t>
          </a:r>
          <a:r>
            <a:rPr lang="en-IN" sz="1800" b="0">
              <a:solidFill>
                <a:schemeClr val="tx1"/>
              </a:solidFill>
            </a:rPr>
            <a:t>Insights</a:t>
          </a:r>
        </a:p>
      </xdr:txBody>
    </xdr:sp>
    <xdr:clientData/>
  </xdr:twoCellAnchor>
  <xdr:twoCellAnchor>
    <xdr:from>
      <xdr:col>1</xdr:col>
      <xdr:colOff>394139</xdr:colOff>
      <xdr:row>45</xdr:row>
      <xdr:rowOff>54742</xdr:rowOff>
    </xdr:from>
    <xdr:to>
      <xdr:col>19</xdr:col>
      <xdr:colOff>361293</xdr:colOff>
      <xdr:row>48</xdr:row>
      <xdr:rowOff>21896</xdr:rowOff>
    </xdr:to>
    <xdr:sp macro="" textlink="">
      <xdr:nvSpPr>
        <xdr:cNvPr id="20" name="Rectangle: Rounded Corners 19">
          <a:extLst>
            <a:ext uri="{FF2B5EF4-FFF2-40B4-BE49-F238E27FC236}">
              <a16:creationId xmlns:a16="http://schemas.microsoft.com/office/drawing/2014/main" id="{02AB3297-F80F-2318-63FE-ECDA3F435FC1}"/>
            </a:ext>
          </a:extLst>
        </xdr:cNvPr>
        <xdr:cNvSpPr/>
      </xdr:nvSpPr>
      <xdr:spPr>
        <a:xfrm>
          <a:off x="1007242" y="8430173"/>
          <a:ext cx="11003017" cy="525516"/>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Based on 2017 to 2022 year we create this chart. </a:t>
          </a:r>
          <a:r>
            <a:rPr lang="en-IN" sz="1100" baseline="0"/>
            <a:t> </a:t>
          </a:r>
          <a:r>
            <a:rPr lang="en-IN" sz="1100"/>
            <a:t>we use formula Annual inflation rate=((CPI at end of year-CPI</a:t>
          </a:r>
          <a:r>
            <a:rPr lang="en-IN" sz="1100" baseline="0"/>
            <a:t> at start of year)/ CPI at Start of year ) *100  .we use calander year.  we use (Rural + Urban) Sector</a:t>
          </a:r>
          <a:endParaRPr lang="en-IN" sz="1100"/>
        </a:p>
      </xdr:txBody>
    </xdr:sp>
    <xdr:clientData/>
  </xdr:twoCellAnchor>
  <xdr:twoCellAnchor>
    <xdr:from>
      <xdr:col>1</xdr:col>
      <xdr:colOff>405086</xdr:colOff>
      <xdr:row>48</xdr:row>
      <xdr:rowOff>76200</xdr:rowOff>
    </xdr:from>
    <xdr:to>
      <xdr:col>10</xdr:col>
      <xdr:colOff>459829</xdr:colOff>
      <xdr:row>68</xdr:row>
      <xdr:rowOff>47625</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E9437947-987D-4ABF-BEFF-648E662F11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14686" y="9220200"/>
              <a:ext cx="5541143" cy="37814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485776</xdr:colOff>
      <xdr:row>58</xdr:row>
      <xdr:rowOff>95251</xdr:rowOff>
    </xdr:from>
    <xdr:to>
      <xdr:col>19</xdr:col>
      <xdr:colOff>361950</xdr:colOff>
      <xdr:row>77</xdr:row>
      <xdr:rowOff>80493</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56E6B03A-F72E-41ED-9194-0DDA9C08AB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581776" y="11144251"/>
              <a:ext cx="5362574" cy="360474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404363</xdr:colOff>
      <xdr:row>68</xdr:row>
      <xdr:rowOff>85725</xdr:rowOff>
    </xdr:from>
    <xdr:to>
      <xdr:col>10</xdr:col>
      <xdr:colOff>458279</xdr:colOff>
      <xdr:row>77</xdr:row>
      <xdr:rowOff>71887</xdr:rowOff>
    </xdr:to>
    <xdr:sp macro="" textlink="">
      <xdr:nvSpPr>
        <xdr:cNvPr id="25" name="Rectangle 24">
          <a:extLst>
            <a:ext uri="{FF2B5EF4-FFF2-40B4-BE49-F238E27FC236}">
              <a16:creationId xmlns:a16="http://schemas.microsoft.com/office/drawing/2014/main" id="{AF7DBC28-90AD-CA4F-C54D-CF5BFDDD9450}"/>
            </a:ext>
          </a:extLst>
        </xdr:cNvPr>
        <xdr:cNvSpPr/>
      </xdr:nvSpPr>
      <xdr:spPr>
        <a:xfrm>
          <a:off x="1015401" y="12917517"/>
          <a:ext cx="5553255" cy="1684488"/>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p>
        <a:p>
          <a:pPr algn="l"/>
          <a:endParaRPr lang="en-IN" sz="1800"/>
        </a:p>
        <a:p>
          <a:pPr algn="l"/>
          <a:r>
            <a:rPr lang="en-IN" sz="1800"/>
            <a:t>October 2022 and May 2023 had the highest food inflation, while December 2022 and February 2023 had the lowest inflation.</a:t>
          </a:r>
        </a:p>
      </xdr:txBody>
    </xdr:sp>
    <xdr:clientData/>
  </xdr:twoCellAnchor>
  <xdr:twoCellAnchor>
    <xdr:from>
      <xdr:col>2</xdr:col>
      <xdr:colOff>21028</xdr:colOff>
      <xdr:row>67</xdr:row>
      <xdr:rowOff>113762</xdr:rowOff>
    </xdr:from>
    <xdr:to>
      <xdr:col>4</xdr:col>
      <xdr:colOff>157305</xdr:colOff>
      <xdr:row>70</xdr:row>
      <xdr:rowOff>25315</xdr:rowOff>
    </xdr:to>
    <xdr:sp macro="" textlink="">
      <xdr:nvSpPr>
        <xdr:cNvPr id="27" name="Rectangle: Rounded Corners 26">
          <a:extLst>
            <a:ext uri="{FF2B5EF4-FFF2-40B4-BE49-F238E27FC236}">
              <a16:creationId xmlns:a16="http://schemas.microsoft.com/office/drawing/2014/main" id="{EBE2D7C7-AD70-4B1C-BAA0-67C2FB5E16C5}"/>
            </a:ext>
          </a:extLst>
        </xdr:cNvPr>
        <xdr:cNvSpPr/>
      </xdr:nvSpPr>
      <xdr:spPr>
        <a:xfrm>
          <a:off x="1243103" y="12756852"/>
          <a:ext cx="1358353" cy="477661"/>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tx1"/>
              </a:solidFill>
            </a:rPr>
            <a:t>   </a:t>
          </a:r>
          <a:r>
            <a:rPr lang="en-IN" sz="1800" b="0">
              <a:solidFill>
                <a:schemeClr val="tx1"/>
              </a:solidFill>
            </a:rPr>
            <a:t>Insights</a:t>
          </a:r>
        </a:p>
      </xdr:txBody>
    </xdr:sp>
    <xdr:clientData/>
  </xdr:twoCellAnchor>
  <xdr:twoCellAnchor>
    <xdr:from>
      <xdr:col>10</xdr:col>
      <xdr:colOff>495299</xdr:colOff>
      <xdr:row>48</xdr:row>
      <xdr:rowOff>95250</xdr:rowOff>
    </xdr:from>
    <xdr:to>
      <xdr:col>19</xdr:col>
      <xdr:colOff>352424</xdr:colOff>
      <xdr:row>58</xdr:row>
      <xdr:rowOff>38100</xdr:rowOff>
    </xdr:to>
    <xdr:sp macro="" textlink="">
      <xdr:nvSpPr>
        <xdr:cNvPr id="31" name="Rectangle 30">
          <a:extLst>
            <a:ext uri="{FF2B5EF4-FFF2-40B4-BE49-F238E27FC236}">
              <a16:creationId xmlns:a16="http://schemas.microsoft.com/office/drawing/2014/main" id="{50EE960D-9292-1BE4-6214-16A6025D85DA}"/>
            </a:ext>
          </a:extLst>
        </xdr:cNvPr>
        <xdr:cNvSpPr/>
      </xdr:nvSpPr>
      <xdr:spPr>
        <a:xfrm>
          <a:off x="6591299" y="9239250"/>
          <a:ext cx="5343525" cy="1847850"/>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endParaRPr lang="en-IN" sz="1100"/>
        </a:p>
        <a:p>
          <a:pPr algn="l"/>
          <a:r>
            <a:rPr lang="en-IN" sz="1800"/>
            <a:t>Spices are one of the biggest contributors to inflation</a:t>
          </a:r>
          <a:r>
            <a:rPr lang="en-IN"/>
            <a:t>.</a:t>
          </a:r>
          <a:endParaRPr lang="en-IN" sz="1100"/>
        </a:p>
      </xdr:txBody>
    </xdr:sp>
    <xdr:clientData/>
  </xdr:twoCellAnchor>
  <xdr:twoCellAnchor>
    <xdr:from>
      <xdr:col>10</xdr:col>
      <xdr:colOff>600074</xdr:colOff>
      <xdr:row>47</xdr:row>
      <xdr:rowOff>57150</xdr:rowOff>
    </xdr:from>
    <xdr:to>
      <xdr:col>13</xdr:col>
      <xdr:colOff>126752</xdr:colOff>
      <xdr:row>49</xdr:row>
      <xdr:rowOff>159203</xdr:rowOff>
    </xdr:to>
    <xdr:sp macro="" textlink="">
      <xdr:nvSpPr>
        <xdr:cNvPr id="32" name="Rectangle: Rounded Corners 31">
          <a:extLst>
            <a:ext uri="{FF2B5EF4-FFF2-40B4-BE49-F238E27FC236}">
              <a16:creationId xmlns:a16="http://schemas.microsoft.com/office/drawing/2014/main" id="{67B94E94-757C-46CF-B964-63BB13ACAA88}"/>
            </a:ext>
          </a:extLst>
        </xdr:cNvPr>
        <xdr:cNvSpPr/>
      </xdr:nvSpPr>
      <xdr:spPr>
        <a:xfrm>
          <a:off x="6696074" y="9010650"/>
          <a:ext cx="1355478" cy="483053"/>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tx1"/>
              </a:solidFill>
            </a:rPr>
            <a:t>   </a:t>
          </a:r>
          <a:r>
            <a:rPr lang="en-IN" sz="1800" b="0">
              <a:solidFill>
                <a:schemeClr val="tx1"/>
              </a:solidFill>
            </a:rPr>
            <a:t>Insights</a:t>
          </a:r>
        </a:p>
      </xdr:txBody>
    </xdr:sp>
    <xdr:clientData/>
  </xdr:twoCellAnchor>
  <xdr:twoCellAnchor>
    <xdr:from>
      <xdr:col>1</xdr:col>
      <xdr:colOff>386391</xdr:colOff>
      <xdr:row>77</xdr:row>
      <xdr:rowOff>152759</xdr:rowOff>
    </xdr:from>
    <xdr:to>
      <xdr:col>19</xdr:col>
      <xdr:colOff>377406</xdr:colOff>
      <xdr:row>80</xdr:row>
      <xdr:rowOff>26958</xdr:rowOff>
    </xdr:to>
    <xdr:sp macro="" textlink="">
      <xdr:nvSpPr>
        <xdr:cNvPr id="35" name="Rectangle: Rounded Corners 34">
          <a:extLst>
            <a:ext uri="{FF2B5EF4-FFF2-40B4-BE49-F238E27FC236}">
              <a16:creationId xmlns:a16="http://schemas.microsoft.com/office/drawing/2014/main" id="{2A2EEDD3-643A-03D3-414F-169E62FB0F75}"/>
            </a:ext>
          </a:extLst>
        </xdr:cNvPr>
        <xdr:cNvSpPr/>
      </xdr:nvSpPr>
      <xdr:spPr>
        <a:xfrm>
          <a:off x="997429" y="14682877"/>
          <a:ext cx="10989694" cy="440307"/>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Based on 2022 june to 2023 may data we create this chart .we use Rural + Urban sector here . we use Formula  Monthly Inflation rate</a:t>
          </a:r>
          <a:r>
            <a:rPr lang="en-IN" sz="1100" baseline="0"/>
            <a:t> = ((CPI in current month - Cpi in previous month)/Cpi in previous month)*100</a:t>
          </a:r>
          <a:endParaRPr lang="en-IN" sz="1100"/>
        </a:p>
      </xdr:txBody>
    </xdr:sp>
    <xdr:clientData/>
  </xdr:twoCellAnchor>
  <xdr:twoCellAnchor>
    <xdr:from>
      <xdr:col>1</xdr:col>
      <xdr:colOff>413348</xdr:colOff>
      <xdr:row>80</xdr:row>
      <xdr:rowOff>62900</xdr:rowOff>
    </xdr:from>
    <xdr:to>
      <xdr:col>10</xdr:col>
      <xdr:colOff>428984</xdr:colOff>
      <xdr:row>94</xdr:row>
      <xdr:rowOff>164260</xdr:rowOff>
    </xdr:to>
    <xdr:graphicFrame macro="">
      <xdr:nvGraphicFramePr>
        <xdr:cNvPr id="36" name="Chart 35">
          <a:extLst>
            <a:ext uri="{FF2B5EF4-FFF2-40B4-BE49-F238E27FC236}">
              <a16:creationId xmlns:a16="http://schemas.microsoft.com/office/drawing/2014/main" id="{1D20E333-3F36-493A-8438-4B488763D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458277</xdr:colOff>
      <xdr:row>80</xdr:row>
      <xdr:rowOff>66442</xdr:rowOff>
    </xdr:from>
    <xdr:to>
      <xdr:col>19</xdr:col>
      <xdr:colOff>332475</xdr:colOff>
      <xdr:row>94</xdr:row>
      <xdr:rowOff>144318</xdr:rowOff>
    </xdr:to>
    <xdr:sp macro="" textlink="">
      <xdr:nvSpPr>
        <xdr:cNvPr id="37" name="Rectangle 36">
          <a:extLst>
            <a:ext uri="{FF2B5EF4-FFF2-40B4-BE49-F238E27FC236}">
              <a16:creationId xmlns:a16="http://schemas.microsoft.com/office/drawing/2014/main" id="{344D5526-C650-D830-8B80-06855BC9DD27}"/>
            </a:ext>
          </a:extLst>
        </xdr:cNvPr>
        <xdr:cNvSpPr/>
      </xdr:nvSpPr>
      <xdr:spPr>
        <a:xfrm>
          <a:off x="6519641" y="15075533"/>
          <a:ext cx="5329425" cy="2704467"/>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600"/>
        </a:p>
        <a:p>
          <a:pPr algn="l"/>
          <a:r>
            <a:rPr lang="en-IN" sz="1800" b="1"/>
            <a:t>Food Inflation: </a:t>
          </a:r>
          <a:r>
            <a:rPr lang="en-IN" sz="1800"/>
            <a:t>Increased significantly pre-pandemic and remained high post-pandemic.</a:t>
          </a:r>
        </a:p>
        <a:p>
          <a:pPr algn="l"/>
          <a:r>
            <a:rPr lang="en-IN" sz="1800" b="1"/>
            <a:t>Health Inflation:</a:t>
          </a:r>
          <a:r>
            <a:rPr lang="en-IN" sz="1800"/>
            <a:t> Decreased before the pandemic but surged afterward due to increased healthcare demand and costs.</a:t>
          </a:r>
        </a:p>
        <a:p>
          <a:pPr algn="l"/>
          <a:r>
            <a:rPr lang="en-IN" sz="1800" b="1"/>
            <a:t>Essential Services Inflation:</a:t>
          </a:r>
          <a:r>
            <a:rPr lang="en-IN" sz="1800"/>
            <a:t> Experienced a dramatic spike during the pandemic and then stabilized.</a:t>
          </a:r>
        </a:p>
      </xdr:txBody>
    </xdr:sp>
    <xdr:clientData/>
  </xdr:twoCellAnchor>
  <xdr:twoCellAnchor>
    <xdr:from>
      <xdr:col>11</xdr:col>
      <xdr:colOff>89859</xdr:colOff>
      <xdr:row>79</xdr:row>
      <xdr:rowOff>89858</xdr:rowOff>
    </xdr:from>
    <xdr:to>
      <xdr:col>13</xdr:col>
      <xdr:colOff>227575</xdr:colOff>
      <xdr:row>82</xdr:row>
      <xdr:rowOff>3209</xdr:rowOff>
    </xdr:to>
    <xdr:sp macro="" textlink="">
      <xdr:nvSpPr>
        <xdr:cNvPr id="38" name="Rectangle: Rounded Corners 37">
          <a:extLst>
            <a:ext uri="{FF2B5EF4-FFF2-40B4-BE49-F238E27FC236}">
              <a16:creationId xmlns:a16="http://schemas.microsoft.com/office/drawing/2014/main" id="{EFE9221C-009C-4809-8128-8B92E63E7EDA}"/>
            </a:ext>
          </a:extLst>
        </xdr:cNvPr>
        <xdr:cNvSpPr/>
      </xdr:nvSpPr>
      <xdr:spPr>
        <a:xfrm>
          <a:off x="6811274" y="14997382"/>
          <a:ext cx="1359792" cy="479459"/>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tx1"/>
              </a:solidFill>
            </a:rPr>
            <a:t>   </a:t>
          </a:r>
          <a:r>
            <a:rPr lang="en-IN" sz="1800" b="0">
              <a:solidFill>
                <a:schemeClr val="tx1"/>
              </a:solidFill>
            </a:rPr>
            <a:t>Insights</a:t>
          </a:r>
        </a:p>
      </xdr:txBody>
    </xdr:sp>
    <xdr:clientData/>
  </xdr:twoCellAnchor>
  <xdr:twoCellAnchor>
    <xdr:from>
      <xdr:col>1</xdr:col>
      <xdr:colOff>422334</xdr:colOff>
      <xdr:row>95</xdr:row>
      <xdr:rowOff>26957</xdr:rowOff>
    </xdr:from>
    <xdr:to>
      <xdr:col>19</xdr:col>
      <xdr:colOff>395377</xdr:colOff>
      <xdr:row>97</xdr:row>
      <xdr:rowOff>107829</xdr:rowOff>
    </xdr:to>
    <xdr:sp macro="" textlink="">
      <xdr:nvSpPr>
        <xdr:cNvPr id="39" name="Rectangle: Rounded Corners 38">
          <a:extLst>
            <a:ext uri="{FF2B5EF4-FFF2-40B4-BE49-F238E27FC236}">
              <a16:creationId xmlns:a16="http://schemas.microsoft.com/office/drawing/2014/main" id="{2D82748C-3834-9431-3BD1-615C33E3B586}"/>
            </a:ext>
          </a:extLst>
        </xdr:cNvPr>
        <xdr:cNvSpPr/>
      </xdr:nvSpPr>
      <xdr:spPr>
        <a:xfrm>
          <a:off x="1033372" y="17953726"/>
          <a:ext cx="10971722" cy="458278"/>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Based on  2018 april to 2022</a:t>
          </a:r>
          <a:r>
            <a:rPr lang="en-IN" sz="1100" baseline="0"/>
            <a:t> march we create this chart.  we use pivot point here 2020 march. April 2018 to March2020  is pre covid and April 2020 to April  to March 2022 is post Covid</a:t>
          </a:r>
          <a:endParaRPr lang="en-IN" sz="1100"/>
        </a:p>
      </xdr:txBody>
    </xdr:sp>
    <xdr:clientData/>
  </xdr:twoCellAnchor>
  <xdr:twoCellAnchor>
    <xdr:from>
      <xdr:col>1</xdr:col>
      <xdr:colOff>456682</xdr:colOff>
      <xdr:row>97</xdr:row>
      <xdr:rowOff>143527</xdr:rowOff>
    </xdr:from>
    <xdr:to>
      <xdr:col>19</xdr:col>
      <xdr:colOff>360795</xdr:colOff>
      <xdr:row>119</xdr:row>
      <xdr:rowOff>116074</xdr:rowOff>
    </xdr:to>
    <xdr:graphicFrame macro="">
      <xdr:nvGraphicFramePr>
        <xdr:cNvPr id="41" name="Chart 40">
          <a:extLst>
            <a:ext uri="{FF2B5EF4-FFF2-40B4-BE49-F238E27FC236}">
              <a16:creationId xmlns:a16="http://schemas.microsoft.com/office/drawing/2014/main" id="{667ED3D4-3692-4D14-96AD-1123C53E1E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461818</xdr:colOff>
      <xdr:row>119</xdr:row>
      <xdr:rowOff>144317</xdr:rowOff>
    </xdr:from>
    <xdr:to>
      <xdr:col>19</xdr:col>
      <xdr:colOff>360794</xdr:colOff>
      <xdr:row>130</xdr:row>
      <xdr:rowOff>158749</xdr:rowOff>
    </xdr:to>
    <xdr:sp macro="" textlink="">
      <xdr:nvSpPr>
        <xdr:cNvPr id="42" name="Rectangle 41">
          <a:extLst>
            <a:ext uri="{FF2B5EF4-FFF2-40B4-BE49-F238E27FC236}">
              <a16:creationId xmlns:a16="http://schemas.microsoft.com/office/drawing/2014/main" id="{81C0EADD-9E7B-9BC5-AFA8-4A5BD3DE3FA3}"/>
            </a:ext>
          </a:extLst>
        </xdr:cNvPr>
        <xdr:cNvSpPr/>
      </xdr:nvSpPr>
      <xdr:spPr>
        <a:xfrm>
          <a:off x="1067954" y="22470340"/>
          <a:ext cx="10809431" cy="2078182"/>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Meat and Fish</a:t>
          </a:r>
          <a:r>
            <a:rPr lang="en-IN" sz="1800"/>
            <a:t> show very high correlations with both Amount and Total Amount, indicating they are major contributors to overall spending.</a:t>
          </a:r>
        </a:p>
        <a:p>
          <a:pPr algn="l"/>
          <a:r>
            <a:rPr lang="en-IN" sz="1800" b="1"/>
            <a:t>Oils and Fats</a:t>
          </a:r>
          <a:r>
            <a:rPr lang="en-IN" sz="1800"/>
            <a:t> also exhibit strong correlations, reflecting their significant impact on household budgets. In contrast,</a:t>
          </a:r>
        </a:p>
        <a:p>
          <a:pPr algn="l"/>
          <a:r>
            <a:rPr lang="en-IN" sz="1800" b="1"/>
            <a:t>Eggs</a:t>
          </a:r>
          <a:r>
            <a:rPr lang="en-IN" sz="1800"/>
            <a:t> have a negative correlation with Amount and Total Amount, suggesting they have minimal or even inverse influence on total expenditure. Additionally</a:t>
          </a:r>
        </a:p>
        <a:p>
          <a:pPr algn="l"/>
          <a:r>
            <a:rPr lang="en-IN" sz="1800" b="1"/>
            <a:t>Health and Housing</a:t>
          </a:r>
          <a:r>
            <a:rPr lang="en-IN" sz="1800"/>
            <a:t> categories are critical, with strong correlations, highlighting their roles in overall spending.</a:t>
          </a:r>
        </a:p>
        <a:p>
          <a:pPr algn="l"/>
          <a:r>
            <a:rPr lang="en-IN" sz="1800" b="1"/>
            <a:t>Recreation and Amusement</a:t>
          </a:r>
          <a:r>
            <a:rPr lang="en-IN" sz="1800"/>
            <a:t> also show substantial influence on household expenditure, with high correlations, indicating significant spending in these areas</a:t>
          </a:r>
          <a:r>
            <a:rPr lang="en-IN"/>
            <a:t>.</a:t>
          </a:r>
          <a:endParaRPr lang="en-IN" sz="1100"/>
        </a:p>
      </xdr:txBody>
    </xdr:sp>
    <xdr:clientData/>
  </xdr:twoCellAnchor>
  <xdr:twoCellAnchor>
    <xdr:from>
      <xdr:col>1</xdr:col>
      <xdr:colOff>461819</xdr:colOff>
      <xdr:row>131</xdr:row>
      <xdr:rowOff>72159</xdr:rowOff>
    </xdr:from>
    <xdr:to>
      <xdr:col>19</xdr:col>
      <xdr:colOff>389659</xdr:colOff>
      <xdr:row>134</xdr:row>
      <xdr:rowOff>101023</xdr:rowOff>
    </xdr:to>
    <xdr:sp macro="" textlink="">
      <xdr:nvSpPr>
        <xdr:cNvPr id="44" name="Rectangle: Rounded Corners 43">
          <a:extLst>
            <a:ext uri="{FF2B5EF4-FFF2-40B4-BE49-F238E27FC236}">
              <a16:creationId xmlns:a16="http://schemas.microsoft.com/office/drawing/2014/main" id="{38E9B2E2-77E6-8C03-422F-459867AAD863}"/>
            </a:ext>
          </a:extLst>
        </xdr:cNvPr>
        <xdr:cNvSpPr/>
      </xdr:nvSpPr>
      <xdr:spPr>
        <a:xfrm>
          <a:off x="1067955" y="24649545"/>
          <a:ext cx="10838295" cy="591705"/>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Based on Jan 2021 to Dec 2022 we create this chart  we use here Rural + Urban sector . we collect data from Goverment website https://ppac.gov.in/prices/international-prices-of-crude-oil</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7B391-C7D6-4FB5-B85F-CA69E8B80F19}">
  <dimension ref="A1:AD373"/>
  <sheetViews>
    <sheetView workbookViewId="0">
      <selection activeCell="A260" sqref="A260:XFD260"/>
    </sheetView>
  </sheetViews>
  <sheetFormatPr defaultRowHeight="15" x14ac:dyDescent="0.25"/>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5">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x14ac:dyDescent="0.25">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25">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25">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x14ac:dyDescent="0.25">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25">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25">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x14ac:dyDescent="0.25">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25">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25">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x14ac:dyDescent="0.25">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25">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25">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x14ac:dyDescent="0.25">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25">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25">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25">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25">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25">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25">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25">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25">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25">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25">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25">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25">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25">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25">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25">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25">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25">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25">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25">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25">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25">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25">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25">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25">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25">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25">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25">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25">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25">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25">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25">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25">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25">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25">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25">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25">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25">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25">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25">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25">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25">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25">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25">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25">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25">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25">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25">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25">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25">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25">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25">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25">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25">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25">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25">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25">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25">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25">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25">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25">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25">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25">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25">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25">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25">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25">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25">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25">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25">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25">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25">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25">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25">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25">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25">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25">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25">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25">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25">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25">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25">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25">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25">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25">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25">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25">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25">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25">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25">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25">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25">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25">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25">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25">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25">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25">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25">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25">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25">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25">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25">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25">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25">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25">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25">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25">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25">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25">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25">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25">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25">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25">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25">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25">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25">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25">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25">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25">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25">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25">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25">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25">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25">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25">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25">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25">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25">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25">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25">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25">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25">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25">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25">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25">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25">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25">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25">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25">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25">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25">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25">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25">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25">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25">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25">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25">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25">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25">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25">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25">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25">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25">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25">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25">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25">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25">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25">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25">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25">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25">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25">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25">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25">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25">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25">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25">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25">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25">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25">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25">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25">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25">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25">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25">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25">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25">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25">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25">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25">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25">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25">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25">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25">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25">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25">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25">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25">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25">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25">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25">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25">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25">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25">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25">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25">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25">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25">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25">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25">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25">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25">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25">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25">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25">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25">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25">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25">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25">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25">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25">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25">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25">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25">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25">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25">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25">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25">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25">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25">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25">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25">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25">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25">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25">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25">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25">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25">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25">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25">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25">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25">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25">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25">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25">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25">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25">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25">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25">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25">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25">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25">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25">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25">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25">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25">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x14ac:dyDescent="0.25">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x14ac:dyDescent="0.25">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x14ac:dyDescent="0.25">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x14ac:dyDescent="0.25">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x14ac:dyDescent="0.25">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x14ac:dyDescent="0.25">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25">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25">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25">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25">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25">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25">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25">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25">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25">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25">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25">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25">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25">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25">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25">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25">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25">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25">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25">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25">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25">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25">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25">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25">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25">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25">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25">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x14ac:dyDescent="0.25">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25">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25">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x14ac:dyDescent="0.25">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25">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25">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25">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25">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25">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25">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25">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25">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25">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25">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25">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25">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25">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25">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25">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25">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25">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25">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25">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25">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25">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25">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25">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25">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25">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25">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25">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25">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25">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25">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25">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25">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25">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25">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25">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25">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25">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25">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25">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25">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25">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25">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25">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25">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25">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25">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25">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25">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25">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25">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25">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25">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25">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25">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25">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25">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25">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25">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25">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25">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25">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25">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25">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25">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25">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25">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25">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25">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25">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25">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25">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x14ac:dyDescent="0.25">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25">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25">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x14ac:dyDescent="0.25">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25">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BD7C2-9B52-4405-B162-5DF2558BE2B4}">
  <dimension ref="A1:AO373"/>
  <sheetViews>
    <sheetView topLeftCell="Z1" zoomScaleNormal="100" workbookViewId="0">
      <pane ySplit="1" topLeftCell="A191" activePane="bottomLeft" state="frozen"/>
      <selection pane="bottomLeft" activeCell="AH2" sqref="AH2"/>
    </sheetView>
  </sheetViews>
  <sheetFormatPr defaultRowHeight="15" x14ac:dyDescent="0.25"/>
  <cols>
    <col min="1" max="1" width="11.85546875" bestFit="1" customWidth="1"/>
    <col min="3" max="3" width="10.85546875" bestFit="1" customWidth="1"/>
    <col min="4" max="4" width="22" bestFit="1" customWidth="1"/>
    <col min="5" max="5" width="15.42578125" bestFit="1" customWidth="1"/>
    <col min="6" max="6" width="6.28515625" bestFit="1" customWidth="1"/>
    <col min="7" max="7" width="19.140625" bestFit="1" customWidth="1"/>
    <col min="8" max="8" width="14.140625" bestFit="1" customWidth="1"/>
    <col min="9" max="9" width="8.28515625" bestFit="1" customWidth="1"/>
    <col min="10" max="10" width="13.28515625" bestFit="1" customWidth="1"/>
    <col min="11" max="11" width="21.140625" bestFit="1" customWidth="1"/>
    <col min="12" max="12" width="25.28515625" bestFit="1" customWidth="1"/>
    <col min="13" max="13" width="8.85546875" bestFit="1" customWidth="1"/>
    <col min="14" max="14" width="25.5703125" bestFit="1" customWidth="1"/>
    <col min="15" max="15" width="35.5703125" bestFit="1" customWidth="1"/>
    <col min="16" max="16" width="21.28515625" bestFit="1" customWidth="1"/>
    <col min="17" max="17" width="28.85546875" bestFit="1" customWidth="1"/>
    <col min="18" max="18" width="10.7109375" bestFit="1" customWidth="1"/>
    <col min="19" max="19" width="11.7109375" bestFit="1" customWidth="1"/>
    <col min="20" max="20" width="23.28515625" bestFit="1" customWidth="1"/>
    <col min="21" max="21" width="10.42578125" bestFit="1" customWidth="1"/>
    <col min="22" max="22" width="15.42578125" bestFit="1" customWidth="1"/>
    <col min="23" max="23" width="30.42578125" bestFit="1" customWidth="1"/>
    <col min="25" max="25" width="30.140625" bestFit="1" customWidth="1"/>
    <col min="26" max="26" width="28.140625" bestFit="1" customWidth="1"/>
    <col min="27" max="27" width="12" bestFit="1" customWidth="1"/>
    <col min="28" max="28" width="25.85546875" bestFit="1" customWidth="1"/>
    <col min="29" max="29" width="16.140625" bestFit="1" customWidth="1"/>
    <col min="30" max="30" width="15.85546875" bestFit="1" customWidth="1"/>
    <col min="33" max="33" width="12.7109375" bestFit="1" customWidth="1"/>
    <col min="34" max="34" width="12.42578125" bestFit="1" customWidth="1"/>
    <col min="35" max="35" width="17.42578125" bestFit="1" customWidth="1"/>
    <col min="36" max="36" width="13.140625" bestFit="1" customWidth="1"/>
    <col min="38" max="38" width="28.140625" bestFit="1" customWidth="1"/>
    <col min="40" max="40" width="15" bestFit="1" customWidth="1"/>
  </cols>
  <sheetData>
    <row r="1" spans="1:4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s="1" t="s">
        <v>49</v>
      </c>
      <c r="AF1" s="1" t="s">
        <v>50</v>
      </c>
      <c r="AG1" s="1" t="s">
        <v>51</v>
      </c>
      <c r="AH1" s="1" t="s">
        <v>52</v>
      </c>
      <c r="AI1" s="1" t="s">
        <v>53</v>
      </c>
      <c r="AJ1" s="1" t="s">
        <v>21</v>
      </c>
      <c r="AK1" s="1" t="s">
        <v>23</v>
      </c>
      <c r="AL1" s="1" t="s">
        <v>54</v>
      </c>
      <c r="AM1" s="1" t="s">
        <v>26</v>
      </c>
      <c r="AN1" s="1" t="s">
        <v>55</v>
      </c>
      <c r="AO1" s="1"/>
    </row>
    <row r="2" spans="1:41" x14ac:dyDescent="0.25">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v>100.3</v>
      </c>
      <c r="V2">
        <v>105.5</v>
      </c>
      <c r="W2">
        <v>104.8</v>
      </c>
      <c r="X2">
        <v>104</v>
      </c>
      <c r="Y2">
        <v>103.3</v>
      </c>
      <c r="Z2">
        <v>103.4</v>
      </c>
      <c r="AA2">
        <v>103.8</v>
      </c>
      <c r="AB2">
        <v>104.7</v>
      </c>
      <c r="AC2">
        <v>104</v>
      </c>
      <c r="AD2">
        <v>105.1</v>
      </c>
      <c r="AE2" s="1">
        <f>SUM(D2:P2)</f>
        <v>1371.6999999999998</v>
      </c>
      <c r="AF2" s="1">
        <f>SUM(Z2,AB2)</f>
        <v>208.10000000000002</v>
      </c>
      <c r="AG2" s="1">
        <f>SUM(R2:T2)</f>
        <v>318.70000000000005</v>
      </c>
      <c r="AH2" s="1">
        <f>SUM(U2,W2)</f>
        <v>205.1</v>
      </c>
      <c r="AI2">
        <v>105.1</v>
      </c>
      <c r="AJ2">
        <v>105.5</v>
      </c>
      <c r="AK2">
        <v>104</v>
      </c>
      <c r="AL2">
        <v>103.3</v>
      </c>
      <c r="AM2">
        <v>103.8</v>
      </c>
      <c r="AN2">
        <v>104</v>
      </c>
    </row>
    <row r="3" spans="1:41" x14ac:dyDescent="0.25">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c r="AE3">
        <v>1376.4</v>
      </c>
      <c r="AF3">
        <v>207.2</v>
      </c>
      <c r="AG3">
        <v>316.7</v>
      </c>
      <c r="AH3">
        <v>205.1</v>
      </c>
      <c r="AI3">
        <v>105.2</v>
      </c>
      <c r="AJ3">
        <v>105.4</v>
      </c>
      <c r="AK3">
        <v>104.1</v>
      </c>
      <c r="AL3">
        <v>103.2</v>
      </c>
      <c r="AM3">
        <v>103.5</v>
      </c>
      <c r="AN3">
        <v>103.7</v>
      </c>
    </row>
    <row r="4" spans="1:41" x14ac:dyDescent="0.25">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c r="AE4">
        <v>1373.3000000000002</v>
      </c>
      <c r="AF4">
        <v>207.6</v>
      </c>
      <c r="AG4">
        <v>318</v>
      </c>
      <c r="AH4">
        <v>205.1</v>
      </c>
      <c r="AI4">
        <v>105.1</v>
      </c>
      <c r="AJ4">
        <v>105.5</v>
      </c>
      <c r="AK4">
        <v>104</v>
      </c>
      <c r="AL4">
        <v>103.2</v>
      </c>
      <c r="AM4">
        <v>103.6</v>
      </c>
      <c r="AN4">
        <v>103.9</v>
      </c>
    </row>
    <row r="5" spans="1:41" x14ac:dyDescent="0.25">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v>100.3</v>
      </c>
      <c r="V5">
        <v>106.2</v>
      </c>
      <c r="W5">
        <v>105.2</v>
      </c>
      <c r="X5">
        <v>104.4</v>
      </c>
      <c r="Y5">
        <v>103.9</v>
      </c>
      <c r="Z5">
        <v>104</v>
      </c>
      <c r="AA5">
        <v>104.1</v>
      </c>
      <c r="AB5">
        <v>104.6</v>
      </c>
      <c r="AC5">
        <v>104.4</v>
      </c>
      <c r="AD5">
        <v>105.8</v>
      </c>
      <c r="AE5">
        <v>1380.3999999999999</v>
      </c>
      <c r="AF5">
        <v>208.6</v>
      </c>
      <c r="AG5">
        <v>320.39999999999998</v>
      </c>
      <c r="AH5">
        <v>205.5</v>
      </c>
      <c r="AI5">
        <v>105.6</v>
      </c>
      <c r="AJ5">
        <v>106.2</v>
      </c>
      <c r="AK5">
        <v>104.4</v>
      </c>
      <c r="AL5">
        <v>103.9</v>
      </c>
      <c r="AM5">
        <v>104.1</v>
      </c>
      <c r="AN5">
        <v>104.4</v>
      </c>
    </row>
    <row r="6" spans="1:41" x14ac:dyDescent="0.25">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c r="AE6">
        <v>1390.6000000000001</v>
      </c>
      <c r="AF6">
        <v>207.6</v>
      </c>
      <c r="AG6">
        <v>318.5</v>
      </c>
      <c r="AH6">
        <v>205.60000000000002</v>
      </c>
      <c r="AI6">
        <v>106</v>
      </c>
      <c r="AJ6">
        <v>105.7</v>
      </c>
      <c r="AK6">
        <v>104.7</v>
      </c>
      <c r="AL6">
        <v>104.4</v>
      </c>
      <c r="AM6">
        <v>103.7</v>
      </c>
      <c r="AN6">
        <v>104.3</v>
      </c>
    </row>
    <row r="7" spans="1:41" x14ac:dyDescent="0.25">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c r="AE7">
        <v>1384.2</v>
      </c>
      <c r="AF7">
        <v>208.1</v>
      </c>
      <c r="AG7">
        <v>319.7</v>
      </c>
      <c r="AH7">
        <v>205.60000000000002</v>
      </c>
      <c r="AI7">
        <v>105.7</v>
      </c>
      <c r="AJ7">
        <v>106</v>
      </c>
      <c r="AK7">
        <v>104.5</v>
      </c>
      <c r="AL7">
        <v>104.2</v>
      </c>
      <c r="AM7">
        <v>103.9</v>
      </c>
      <c r="AN7">
        <v>104.4</v>
      </c>
    </row>
    <row r="8" spans="1:41" x14ac:dyDescent="0.25">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v>100.4</v>
      </c>
      <c r="V8">
        <v>106.1</v>
      </c>
      <c r="W8">
        <v>105.6</v>
      </c>
      <c r="X8">
        <v>104.7</v>
      </c>
      <c r="Y8">
        <v>104.6</v>
      </c>
      <c r="Z8">
        <v>104</v>
      </c>
      <c r="AA8">
        <v>104.3</v>
      </c>
      <c r="AB8">
        <v>104.3</v>
      </c>
      <c r="AC8">
        <v>104.6</v>
      </c>
      <c r="AD8">
        <v>106</v>
      </c>
      <c r="AE8">
        <v>1382.2</v>
      </c>
      <c r="AF8">
        <v>208.3</v>
      </c>
      <c r="AG8">
        <v>321.89999999999998</v>
      </c>
      <c r="AH8">
        <v>206</v>
      </c>
      <c r="AI8">
        <v>106.5</v>
      </c>
      <c r="AJ8">
        <v>106.1</v>
      </c>
      <c r="AK8">
        <v>104.7</v>
      </c>
      <c r="AL8">
        <v>104.6</v>
      </c>
      <c r="AM8">
        <v>104.3</v>
      </c>
      <c r="AN8">
        <v>104.6</v>
      </c>
    </row>
    <row r="9" spans="1:41" x14ac:dyDescent="0.25">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c r="AE9">
        <v>1386.8</v>
      </c>
      <c r="AF9">
        <v>207.7</v>
      </c>
      <c r="AG9">
        <v>320.2</v>
      </c>
      <c r="AH9">
        <v>206.10000000000002</v>
      </c>
      <c r="AI9">
        <v>106.8</v>
      </c>
      <c r="AJ9">
        <v>106</v>
      </c>
      <c r="AK9">
        <v>105.2</v>
      </c>
      <c r="AL9">
        <v>105.5</v>
      </c>
      <c r="AM9">
        <v>103.8</v>
      </c>
      <c r="AN9">
        <v>104.9</v>
      </c>
    </row>
    <row r="10" spans="1:41" x14ac:dyDescent="0.25">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c r="AE10">
        <v>1384.0000000000002</v>
      </c>
      <c r="AF10">
        <v>208</v>
      </c>
      <c r="AG10">
        <v>321.2</v>
      </c>
      <c r="AH10">
        <v>206</v>
      </c>
      <c r="AI10">
        <v>106.6</v>
      </c>
      <c r="AJ10">
        <v>106.1</v>
      </c>
      <c r="AK10">
        <v>104.9</v>
      </c>
      <c r="AL10">
        <v>105.1</v>
      </c>
      <c r="AM10">
        <v>104</v>
      </c>
      <c r="AN10">
        <v>104.7</v>
      </c>
    </row>
    <row r="11" spans="1:41" x14ac:dyDescent="0.25">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v>100.4</v>
      </c>
      <c r="V11">
        <v>106.5</v>
      </c>
      <c r="W11">
        <v>106.1</v>
      </c>
      <c r="X11">
        <v>105.1</v>
      </c>
      <c r="Y11">
        <v>104.4</v>
      </c>
      <c r="Z11">
        <v>104.5</v>
      </c>
      <c r="AA11">
        <v>104.8</v>
      </c>
      <c r="AB11">
        <v>102.7</v>
      </c>
      <c r="AC11">
        <v>104.6</v>
      </c>
      <c r="AD11">
        <v>106.4</v>
      </c>
      <c r="AE11">
        <v>1385.8</v>
      </c>
      <c r="AF11">
        <v>207.2</v>
      </c>
      <c r="AG11">
        <v>323.5</v>
      </c>
      <c r="AH11">
        <v>206.5</v>
      </c>
      <c r="AI11">
        <v>107.1</v>
      </c>
      <c r="AJ11">
        <v>106.5</v>
      </c>
      <c r="AK11">
        <v>105.1</v>
      </c>
      <c r="AL11">
        <v>104.4</v>
      </c>
      <c r="AM11">
        <v>104.8</v>
      </c>
      <c r="AN11">
        <v>104.6</v>
      </c>
    </row>
    <row r="12" spans="1:41" x14ac:dyDescent="0.25">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c r="AE12">
        <v>1397.6999999999998</v>
      </c>
      <c r="AF12">
        <v>207.2</v>
      </c>
      <c r="AG12">
        <v>322</v>
      </c>
      <c r="AH12">
        <v>207</v>
      </c>
      <c r="AI12">
        <v>108.5</v>
      </c>
      <c r="AJ12">
        <v>106.4</v>
      </c>
      <c r="AK12">
        <v>105.7</v>
      </c>
      <c r="AL12">
        <v>105</v>
      </c>
      <c r="AM12">
        <v>105.2</v>
      </c>
      <c r="AN12">
        <v>105.1</v>
      </c>
    </row>
    <row r="13" spans="1:41" x14ac:dyDescent="0.25">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c r="AE13">
        <v>1390.2</v>
      </c>
      <c r="AF13">
        <v>207.10000000000002</v>
      </c>
      <c r="AG13">
        <v>322.89999999999998</v>
      </c>
      <c r="AH13">
        <v>206.8</v>
      </c>
      <c r="AI13">
        <v>107.5</v>
      </c>
      <c r="AJ13">
        <v>106.5</v>
      </c>
      <c r="AK13">
        <v>105.3</v>
      </c>
      <c r="AL13">
        <v>104.7</v>
      </c>
      <c r="AM13">
        <v>105</v>
      </c>
      <c r="AN13">
        <v>104.8</v>
      </c>
    </row>
    <row r="14" spans="1:41" x14ac:dyDescent="0.25">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v>100.5</v>
      </c>
      <c r="V14">
        <v>107.5</v>
      </c>
      <c r="W14">
        <v>106.8</v>
      </c>
      <c r="X14">
        <v>105.7</v>
      </c>
      <c r="Y14">
        <v>104.1</v>
      </c>
      <c r="Z14">
        <v>105</v>
      </c>
      <c r="AA14">
        <v>105.5</v>
      </c>
      <c r="AB14">
        <v>102.1</v>
      </c>
      <c r="AC14">
        <v>104.8</v>
      </c>
      <c r="AD14">
        <v>107.2</v>
      </c>
      <c r="AE14">
        <v>1394</v>
      </c>
      <c r="AF14">
        <v>207.1</v>
      </c>
      <c r="AG14">
        <v>325.29999999999995</v>
      </c>
      <c r="AH14">
        <v>207.3</v>
      </c>
      <c r="AI14">
        <v>108.1</v>
      </c>
      <c r="AJ14">
        <v>107.5</v>
      </c>
      <c r="AK14">
        <v>105.7</v>
      </c>
      <c r="AL14">
        <v>104.1</v>
      </c>
      <c r="AM14">
        <v>105.5</v>
      </c>
      <c r="AN14">
        <v>104.8</v>
      </c>
    </row>
    <row r="15" spans="1:41" x14ac:dyDescent="0.25">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c r="AE15">
        <v>1417.1999999999998</v>
      </c>
      <c r="AF15">
        <v>207.2</v>
      </c>
      <c r="AG15">
        <v>323.5</v>
      </c>
      <c r="AH15">
        <v>207.6</v>
      </c>
      <c r="AI15">
        <v>109.8</v>
      </c>
      <c r="AJ15">
        <v>107.2</v>
      </c>
      <c r="AK15">
        <v>106.2</v>
      </c>
      <c r="AL15">
        <v>103.9</v>
      </c>
      <c r="AM15">
        <v>105.7</v>
      </c>
      <c r="AN15">
        <v>104.9</v>
      </c>
    </row>
    <row r="16" spans="1:41" x14ac:dyDescent="0.25">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c r="AE16">
        <v>1402.1999999999998</v>
      </c>
      <c r="AF16">
        <v>207.1</v>
      </c>
      <c r="AG16">
        <v>324.60000000000002</v>
      </c>
      <c r="AH16">
        <v>207.4</v>
      </c>
      <c r="AI16">
        <v>108.6</v>
      </c>
      <c r="AJ16">
        <v>107.4</v>
      </c>
      <c r="AK16">
        <v>105.9</v>
      </c>
      <c r="AL16">
        <v>104</v>
      </c>
      <c r="AM16">
        <v>105.6</v>
      </c>
      <c r="AN16">
        <v>104.8</v>
      </c>
    </row>
    <row r="17" spans="1:40" x14ac:dyDescent="0.25">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v>100.5</v>
      </c>
      <c r="V17">
        <v>108.5</v>
      </c>
      <c r="W17">
        <v>107.5</v>
      </c>
      <c r="X17">
        <v>106.3</v>
      </c>
      <c r="Y17">
        <v>105</v>
      </c>
      <c r="Z17">
        <v>105.6</v>
      </c>
      <c r="AA17">
        <v>106.5</v>
      </c>
      <c r="AB17">
        <v>102.5</v>
      </c>
      <c r="AC17">
        <v>105.5</v>
      </c>
      <c r="AD17">
        <v>108.9</v>
      </c>
      <c r="AE17">
        <v>1420</v>
      </c>
      <c r="AF17">
        <v>208.1</v>
      </c>
      <c r="AG17">
        <v>328</v>
      </c>
      <c r="AH17">
        <v>208</v>
      </c>
      <c r="AI17">
        <v>109</v>
      </c>
      <c r="AJ17">
        <v>108.5</v>
      </c>
      <c r="AK17">
        <v>106.3</v>
      </c>
      <c r="AL17">
        <v>105</v>
      </c>
      <c r="AM17">
        <v>106.5</v>
      </c>
      <c r="AN17">
        <v>105.5</v>
      </c>
    </row>
    <row r="18" spans="1:40" x14ac:dyDescent="0.25">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c r="AE18">
        <v>1464.6000000000001</v>
      </c>
      <c r="AF18">
        <v>208.5</v>
      </c>
      <c r="AG18">
        <v>325.3</v>
      </c>
      <c r="AH18">
        <v>214.3</v>
      </c>
      <c r="AI18">
        <v>110.9</v>
      </c>
      <c r="AJ18">
        <v>108</v>
      </c>
      <c r="AK18">
        <v>106.5</v>
      </c>
      <c r="AL18">
        <v>105.2</v>
      </c>
      <c r="AM18">
        <v>108.1</v>
      </c>
      <c r="AN18">
        <v>106.1</v>
      </c>
    </row>
    <row r="19" spans="1:40" x14ac:dyDescent="0.25">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c r="AE19">
        <v>1436</v>
      </c>
      <c r="AF19">
        <v>208.2</v>
      </c>
      <c r="AG19">
        <v>326.89999999999998</v>
      </c>
      <c r="AH19">
        <v>214.2</v>
      </c>
      <c r="AI19">
        <v>109.5</v>
      </c>
      <c r="AJ19">
        <v>108.3</v>
      </c>
      <c r="AK19">
        <v>106.4</v>
      </c>
      <c r="AL19">
        <v>105.1</v>
      </c>
      <c r="AM19">
        <v>107.4</v>
      </c>
      <c r="AN19">
        <v>105.8</v>
      </c>
    </row>
    <row r="20" spans="1:40" x14ac:dyDescent="0.25">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v>107.1</v>
      </c>
      <c r="V20">
        <v>109.5</v>
      </c>
      <c r="W20">
        <v>108.3</v>
      </c>
      <c r="X20">
        <v>106.9</v>
      </c>
      <c r="Y20">
        <v>106.8</v>
      </c>
      <c r="Z20">
        <v>106.4</v>
      </c>
      <c r="AA20">
        <v>107.8</v>
      </c>
      <c r="AB20">
        <v>102.5</v>
      </c>
      <c r="AC20">
        <v>106.5</v>
      </c>
      <c r="AD20">
        <v>110.7</v>
      </c>
      <c r="AE20">
        <v>1445.8999999999996</v>
      </c>
      <c r="AF20">
        <v>208.9</v>
      </c>
      <c r="AG20">
        <v>330.3</v>
      </c>
      <c r="AH20">
        <v>215.39999999999998</v>
      </c>
      <c r="AI20">
        <v>109.8</v>
      </c>
      <c r="AJ20">
        <v>109.5</v>
      </c>
      <c r="AK20">
        <v>106.9</v>
      </c>
      <c r="AL20">
        <v>106.8</v>
      </c>
      <c r="AM20">
        <v>107.8</v>
      </c>
      <c r="AN20">
        <v>106.5</v>
      </c>
    </row>
    <row r="21" spans="1:40" x14ac:dyDescent="0.25">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c r="AE21">
        <v>1489.4</v>
      </c>
      <c r="AF21">
        <v>209.10000000000002</v>
      </c>
      <c r="AG21">
        <v>327.10000000000002</v>
      </c>
      <c r="AH21">
        <v>215.8</v>
      </c>
      <c r="AI21">
        <v>111.7</v>
      </c>
      <c r="AJ21">
        <v>108.6</v>
      </c>
      <c r="AK21">
        <v>107.1</v>
      </c>
      <c r="AL21">
        <v>107.3</v>
      </c>
      <c r="AM21">
        <v>110.1</v>
      </c>
      <c r="AN21">
        <v>107.3</v>
      </c>
    </row>
    <row r="22" spans="1:40" x14ac:dyDescent="0.25">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c r="AE22">
        <v>1461.3999999999999</v>
      </c>
      <c r="AF22">
        <v>208.89999999999998</v>
      </c>
      <c r="AG22">
        <v>329</v>
      </c>
      <c r="AH22">
        <v>215.9</v>
      </c>
      <c r="AI22">
        <v>110.3</v>
      </c>
      <c r="AJ22">
        <v>109.2</v>
      </c>
      <c r="AK22">
        <v>107</v>
      </c>
      <c r="AL22">
        <v>107.1</v>
      </c>
      <c r="AM22">
        <v>109.1</v>
      </c>
      <c r="AN22">
        <v>106.9</v>
      </c>
    </row>
    <row r="23" spans="1:40" x14ac:dyDescent="0.25">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v>108.3</v>
      </c>
      <c r="V23">
        <v>109.9</v>
      </c>
      <c r="W23">
        <v>108.7</v>
      </c>
      <c r="X23">
        <v>107.5</v>
      </c>
      <c r="Y23">
        <v>107.8</v>
      </c>
      <c r="Z23">
        <v>106.8</v>
      </c>
      <c r="AA23">
        <v>108.7</v>
      </c>
      <c r="AB23">
        <v>105</v>
      </c>
      <c r="AC23">
        <v>107.5</v>
      </c>
      <c r="AD23">
        <v>112.1</v>
      </c>
      <c r="AE23">
        <v>1462.5</v>
      </c>
      <c r="AF23">
        <v>211.8</v>
      </c>
      <c r="AG23">
        <v>332.6</v>
      </c>
      <c r="AH23">
        <v>217</v>
      </c>
      <c r="AI23">
        <v>110.7</v>
      </c>
      <c r="AJ23">
        <v>109.9</v>
      </c>
      <c r="AK23">
        <v>107.5</v>
      </c>
      <c r="AL23">
        <v>107.8</v>
      </c>
      <c r="AM23">
        <v>108.7</v>
      </c>
      <c r="AN23">
        <v>107.5</v>
      </c>
    </row>
    <row r="24" spans="1:40" x14ac:dyDescent="0.25">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c r="AE24">
        <v>1506.1000000000001</v>
      </c>
      <c r="AF24">
        <v>212.5</v>
      </c>
      <c r="AG24">
        <v>329.09999999999997</v>
      </c>
      <c r="AH24">
        <v>217.60000000000002</v>
      </c>
      <c r="AI24">
        <v>112.4</v>
      </c>
      <c r="AJ24">
        <v>109.3</v>
      </c>
      <c r="AK24">
        <v>107.6</v>
      </c>
      <c r="AL24">
        <v>108.1</v>
      </c>
      <c r="AM24">
        <v>110.8</v>
      </c>
      <c r="AN24">
        <v>108.3</v>
      </c>
    </row>
    <row r="25" spans="1:40" x14ac:dyDescent="0.25">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c r="AE25">
        <v>1477.4</v>
      </c>
      <c r="AF25">
        <v>212</v>
      </c>
      <c r="AG25">
        <v>331.1</v>
      </c>
      <c r="AH25">
        <v>217.60000000000002</v>
      </c>
      <c r="AI25">
        <v>111.2</v>
      </c>
      <c r="AJ25">
        <v>109.7</v>
      </c>
      <c r="AK25">
        <v>107.5</v>
      </c>
      <c r="AL25">
        <v>108</v>
      </c>
      <c r="AM25">
        <v>109.9</v>
      </c>
      <c r="AN25">
        <v>107.9</v>
      </c>
    </row>
    <row r="26" spans="1:40" x14ac:dyDescent="0.25">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v>109.3</v>
      </c>
      <c r="V26">
        <v>111.1</v>
      </c>
      <c r="W26">
        <v>109.6</v>
      </c>
      <c r="X26">
        <v>108.3</v>
      </c>
      <c r="Y26">
        <v>109.3</v>
      </c>
      <c r="Z26">
        <v>107.7</v>
      </c>
      <c r="AA26">
        <v>109.8</v>
      </c>
      <c r="AB26">
        <v>106.7</v>
      </c>
      <c r="AC26">
        <v>108.7</v>
      </c>
      <c r="AD26">
        <v>114.2</v>
      </c>
      <c r="AE26">
        <v>1488.5000000000002</v>
      </c>
      <c r="AF26">
        <v>214.4</v>
      </c>
      <c r="AG26">
        <v>336.6</v>
      </c>
      <c r="AH26">
        <v>218.89999999999998</v>
      </c>
      <c r="AI26">
        <v>111.7</v>
      </c>
      <c r="AJ26">
        <v>111.1</v>
      </c>
      <c r="AK26">
        <v>108.3</v>
      </c>
      <c r="AL26">
        <v>109.3</v>
      </c>
      <c r="AM26">
        <v>109.8</v>
      </c>
      <c r="AN26">
        <v>108.7</v>
      </c>
    </row>
    <row r="27" spans="1:40" x14ac:dyDescent="0.25">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c r="AE27">
        <v>1500.4</v>
      </c>
      <c r="AF27">
        <v>214.3</v>
      </c>
      <c r="AG27">
        <v>331.5</v>
      </c>
      <c r="AH27">
        <v>219.3</v>
      </c>
      <c r="AI27">
        <v>112.9</v>
      </c>
      <c r="AJ27">
        <v>109.5</v>
      </c>
      <c r="AK27">
        <v>107.9</v>
      </c>
      <c r="AL27">
        <v>110.4</v>
      </c>
      <c r="AM27">
        <v>111.2</v>
      </c>
      <c r="AN27">
        <v>109.4</v>
      </c>
    </row>
    <row r="28" spans="1:40" x14ac:dyDescent="0.25">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c r="AE28">
        <v>1491.6999999999998</v>
      </c>
      <c r="AF28">
        <v>214.3</v>
      </c>
      <c r="AG28">
        <v>334.5</v>
      </c>
      <c r="AH28">
        <v>219.3</v>
      </c>
      <c r="AI28">
        <v>112</v>
      </c>
      <c r="AJ28">
        <v>110.5</v>
      </c>
      <c r="AK28">
        <v>108.1</v>
      </c>
      <c r="AL28">
        <v>109.9</v>
      </c>
      <c r="AM28">
        <v>110.6</v>
      </c>
      <c r="AN28">
        <v>109</v>
      </c>
    </row>
    <row r="29" spans="1:40" x14ac:dyDescent="0.25">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v>110.1</v>
      </c>
      <c r="V29">
        <v>111.6</v>
      </c>
      <c r="W29">
        <v>110.4</v>
      </c>
      <c r="X29">
        <v>108.9</v>
      </c>
      <c r="Y29">
        <v>109.3</v>
      </c>
      <c r="Z29">
        <v>108.3</v>
      </c>
      <c r="AA29">
        <v>110.2</v>
      </c>
      <c r="AB29">
        <v>107.5</v>
      </c>
      <c r="AC29">
        <v>109.1</v>
      </c>
      <c r="AD29">
        <v>115.5</v>
      </c>
      <c r="AE29">
        <v>1508</v>
      </c>
      <c r="AF29">
        <v>215.8</v>
      </c>
      <c r="AG29">
        <v>339.29999999999995</v>
      </c>
      <c r="AH29">
        <v>220.5</v>
      </c>
      <c r="AI29">
        <v>112.2</v>
      </c>
      <c r="AJ29">
        <v>111.6</v>
      </c>
      <c r="AK29">
        <v>108.9</v>
      </c>
      <c r="AL29">
        <v>109.3</v>
      </c>
      <c r="AM29">
        <v>110.2</v>
      </c>
      <c r="AN29">
        <v>109.1</v>
      </c>
    </row>
    <row r="30" spans="1:40" x14ac:dyDescent="0.25">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c r="AE30">
        <v>1517.1999999999998</v>
      </c>
      <c r="AF30">
        <v>215.3</v>
      </c>
      <c r="AG30">
        <v>334.2</v>
      </c>
      <c r="AH30">
        <v>220.7</v>
      </c>
      <c r="AI30">
        <v>113.5</v>
      </c>
      <c r="AJ30">
        <v>109.7</v>
      </c>
      <c r="AK30">
        <v>108.2</v>
      </c>
      <c r="AL30">
        <v>109.7</v>
      </c>
      <c r="AM30">
        <v>111.3</v>
      </c>
      <c r="AN30">
        <v>109.4</v>
      </c>
    </row>
    <row r="31" spans="1:40" x14ac:dyDescent="0.25">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c r="AE31">
        <v>1510.2000000000003</v>
      </c>
      <c r="AF31">
        <v>215.5</v>
      </c>
      <c r="AG31">
        <v>337.2</v>
      </c>
      <c r="AH31">
        <v>220.8</v>
      </c>
      <c r="AI31">
        <v>112.5</v>
      </c>
      <c r="AJ31">
        <v>110.9</v>
      </c>
      <c r="AK31">
        <v>108.6</v>
      </c>
      <c r="AL31">
        <v>109.5</v>
      </c>
      <c r="AM31">
        <v>110.8</v>
      </c>
      <c r="AN31">
        <v>109.2</v>
      </c>
    </row>
    <row r="32" spans="1:40" x14ac:dyDescent="0.25">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v>110.8</v>
      </c>
      <c r="V32">
        <v>112.6</v>
      </c>
      <c r="W32">
        <v>111.3</v>
      </c>
      <c r="X32">
        <v>109.7</v>
      </c>
      <c r="Y32">
        <v>109.6</v>
      </c>
      <c r="Z32">
        <v>108.7</v>
      </c>
      <c r="AA32">
        <v>111</v>
      </c>
      <c r="AB32">
        <v>108.2</v>
      </c>
      <c r="AC32">
        <v>109.8</v>
      </c>
      <c r="AD32">
        <v>117.4</v>
      </c>
      <c r="AE32">
        <v>1536.8</v>
      </c>
      <c r="AF32">
        <v>216.9</v>
      </c>
      <c r="AG32">
        <v>342.1</v>
      </c>
      <c r="AH32">
        <v>222.1</v>
      </c>
      <c r="AI32">
        <v>112.8</v>
      </c>
      <c r="AJ32">
        <v>112.6</v>
      </c>
      <c r="AK32">
        <v>109.7</v>
      </c>
      <c r="AL32">
        <v>109.6</v>
      </c>
      <c r="AM32">
        <v>111</v>
      </c>
      <c r="AN32">
        <v>109.8</v>
      </c>
    </row>
    <row r="33" spans="1:40" x14ac:dyDescent="0.25">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c r="AE33">
        <v>1544.6</v>
      </c>
      <c r="AF33">
        <v>216.4</v>
      </c>
      <c r="AG33">
        <v>336.8</v>
      </c>
      <c r="AH33">
        <v>222</v>
      </c>
      <c r="AI33">
        <v>114.1</v>
      </c>
      <c r="AJ33">
        <v>110</v>
      </c>
      <c r="AK33">
        <v>108.6</v>
      </c>
      <c r="AL33">
        <v>109.5</v>
      </c>
      <c r="AM33">
        <v>111.3</v>
      </c>
      <c r="AN33">
        <v>109.6</v>
      </c>
    </row>
    <row r="34" spans="1:40" x14ac:dyDescent="0.25">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c r="AE34">
        <v>1538.8</v>
      </c>
      <c r="AF34">
        <v>216.7</v>
      </c>
      <c r="AG34">
        <v>339.90000000000003</v>
      </c>
      <c r="AH34">
        <v>222.2</v>
      </c>
      <c r="AI34">
        <v>113.1</v>
      </c>
      <c r="AJ34">
        <v>111.6</v>
      </c>
      <c r="AK34">
        <v>109.3</v>
      </c>
      <c r="AL34">
        <v>109.5</v>
      </c>
      <c r="AM34">
        <v>111.2</v>
      </c>
      <c r="AN34">
        <v>109.7</v>
      </c>
    </row>
    <row r="35" spans="1:40" x14ac:dyDescent="0.25">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v>110.9</v>
      </c>
      <c r="V35">
        <v>112.8</v>
      </c>
      <c r="W35">
        <v>112.1</v>
      </c>
      <c r="X35">
        <v>110.1</v>
      </c>
      <c r="Y35">
        <v>109.9</v>
      </c>
      <c r="Z35">
        <v>109.2</v>
      </c>
      <c r="AA35">
        <v>111.6</v>
      </c>
      <c r="AB35">
        <v>108.1</v>
      </c>
      <c r="AC35">
        <v>110.1</v>
      </c>
      <c r="AD35">
        <v>115.5</v>
      </c>
      <c r="AE35">
        <v>1509</v>
      </c>
      <c r="AF35">
        <v>217.3</v>
      </c>
      <c r="AG35">
        <v>345.3</v>
      </c>
      <c r="AH35">
        <v>223</v>
      </c>
      <c r="AI35">
        <v>113.6</v>
      </c>
      <c r="AJ35">
        <v>112.8</v>
      </c>
      <c r="AK35">
        <v>110.1</v>
      </c>
      <c r="AL35">
        <v>109.9</v>
      </c>
      <c r="AM35">
        <v>111.6</v>
      </c>
      <c r="AN35">
        <v>110.1</v>
      </c>
    </row>
    <row r="36" spans="1:40" x14ac:dyDescent="0.25">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c r="AE36">
        <v>1504.4</v>
      </c>
      <c r="AF36">
        <v>216.60000000000002</v>
      </c>
      <c r="AG36">
        <v>338.8</v>
      </c>
      <c r="AH36">
        <v>222</v>
      </c>
      <c r="AI36">
        <v>115</v>
      </c>
      <c r="AJ36">
        <v>110.4</v>
      </c>
      <c r="AK36">
        <v>109</v>
      </c>
      <c r="AL36">
        <v>109.7</v>
      </c>
      <c r="AM36">
        <v>111.4</v>
      </c>
      <c r="AN36">
        <v>109.8</v>
      </c>
    </row>
    <row r="37" spans="1:40" x14ac:dyDescent="0.25">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c r="AE37">
        <v>1507.3000000000002</v>
      </c>
      <c r="AF37">
        <v>216.9</v>
      </c>
      <c r="AG37">
        <v>342.7</v>
      </c>
      <c r="AH37">
        <v>222.4</v>
      </c>
      <c r="AI37">
        <v>114</v>
      </c>
      <c r="AJ37">
        <v>111.9</v>
      </c>
      <c r="AK37">
        <v>109.7</v>
      </c>
      <c r="AL37">
        <v>109.8</v>
      </c>
      <c r="AM37">
        <v>111.5</v>
      </c>
      <c r="AN37">
        <v>110</v>
      </c>
    </row>
    <row r="38" spans="1:40" x14ac:dyDescent="0.25">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v>110.9</v>
      </c>
      <c r="V38">
        <v>113</v>
      </c>
      <c r="W38">
        <v>112.6</v>
      </c>
      <c r="X38">
        <v>110.6</v>
      </c>
      <c r="Y38">
        <v>110.5</v>
      </c>
      <c r="Z38">
        <v>109.6</v>
      </c>
      <c r="AA38">
        <v>111.8</v>
      </c>
      <c r="AB38">
        <v>108.3</v>
      </c>
      <c r="AC38">
        <v>110.6</v>
      </c>
      <c r="AD38">
        <v>114.2</v>
      </c>
      <c r="AE38">
        <v>1486.6000000000001</v>
      </c>
      <c r="AF38">
        <v>217.89999999999998</v>
      </c>
      <c r="AG38">
        <v>347.2</v>
      </c>
      <c r="AH38">
        <v>223.5</v>
      </c>
      <c r="AI38">
        <v>114</v>
      </c>
      <c r="AJ38">
        <v>113</v>
      </c>
      <c r="AK38">
        <v>110.6</v>
      </c>
      <c r="AL38">
        <v>110.5</v>
      </c>
      <c r="AM38">
        <v>111.8</v>
      </c>
      <c r="AN38">
        <v>110.6</v>
      </c>
    </row>
    <row r="39" spans="1:40" x14ac:dyDescent="0.25">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c r="AE39">
        <v>1484.3</v>
      </c>
      <c r="AF39">
        <v>217.8</v>
      </c>
      <c r="AG39">
        <v>340.4</v>
      </c>
      <c r="AH39">
        <v>223.5</v>
      </c>
      <c r="AI39">
        <v>115.7</v>
      </c>
      <c r="AJ39">
        <v>111</v>
      </c>
      <c r="AK39">
        <v>109.7</v>
      </c>
      <c r="AL39">
        <v>110.8</v>
      </c>
      <c r="AM39">
        <v>111.5</v>
      </c>
      <c r="AN39">
        <v>110.5</v>
      </c>
    </row>
    <row r="40" spans="1:40" x14ac:dyDescent="0.25">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c r="AE40">
        <v>1485.7999999999997</v>
      </c>
      <c r="AF40">
        <v>217.9</v>
      </c>
      <c r="AG40">
        <v>344.4</v>
      </c>
      <c r="AH40">
        <v>223.89999999999998</v>
      </c>
      <c r="AI40">
        <v>114.5</v>
      </c>
      <c r="AJ40">
        <v>112.2</v>
      </c>
      <c r="AK40">
        <v>110.3</v>
      </c>
      <c r="AL40">
        <v>110.7</v>
      </c>
      <c r="AM40">
        <v>111.6</v>
      </c>
      <c r="AN40">
        <v>110.6</v>
      </c>
    </row>
    <row r="41" spans="1:40" x14ac:dyDescent="0.25">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v>111.7</v>
      </c>
      <c r="V41">
        <v>113.2</v>
      </c>
      <c r="W41">
        <v>112.9</v>
      </c>
      <c r="X41">
        <v>110.9</v>
      </c>
      <c r="Y41">
        <v>110.8</v>
      </c>
      <c r="Z41">
        <v>109.9</v>
      </c>
      <c r="AA41">
        <v>112</v>
      </c>
      <c r="AB41">
        <v>108.7</v>
      </c>
      <c r="AC41">
        <v>110.9</v>
      </c>
      <c r="AD41">
        <v>114</v>
      </c>
      <c r="AE41">
        <v>1482.2</v>
      </c>
      <c r="AF41">
        <v>218.60000000000002</v>
      </c>
      <c r="AG41">
        <v>348.3</v>
      </c>
      <c r="AH41">
        <v>224.60000000000002</v>
      </c>
      <c r="AI41">
        <v>114.2</v>
      </c>
      <c r="AJ41">
        <v>113.2</v>
      </c>
      <c r="AK41">
        <v>110.9</v>
      </c>
      <c r="AL41">
        <v>110.8</v>
      </c>
      <c r="AM41">
        <v>112</v>
      </c>
      <c r="AN41">
        <v>110.9</v>
      </c>
    </row>
    <row r="42" spans="1:40" x14ac:dyDescent="0.25">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c r="AE42">
        <v>1476</v>
      </c>
      <c r="AF42">
        <v>219</v>
      </c>
      <c r="AG42">
        <v>341.7</v>
      </c>
      <c r="AH42">
        <v>225.1</v>
      </c>
      <c r="AI42">
        <v>116.2</v>
      </c>
      <c r="AJ42">
        <v>111.1</v>
      </c>
      <c r="AK42">
        <v>110.4</v>
      </c>
      <c r="AL42">
        <v>111.3</v>
      </c>
      <c r="AM42">
        <v>111.6</v>
      </c>
      <c r="AN42">
        <v>111</v>
      </c>
    </row>
    <row r="43" spans="1:40" x14ac:dyDescent="0.25">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c r="AE43">
        <v>1480.1</v>
      </c>
      <c r="AF43">
        <v>218.8</v>
      </c>
      <c r="AG43">
        <v>345.6</v>
      </c>
      <c r="AH43">
        <v>225.3</v>
      </c>
      <c r="AI43">
        <v>114.7</v>
      </c>
      <c r="AJ43">
        <v>112.4</v>
      </c>
      <c r="AK43">
        <v>110.7</v>
      </c>
      <c r="AL43">
        <v>111.1</v>
      </c>
      <c r="AM43">
        <v>111.8</v>
      </c>
      <c r="AN43">
        <v>110.9</v>
      </c>
    </row>
    <row r="44" spans="1:40" x14ac:dyDescent="0.25">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v>112.7</v>
      </c>
      <c r="V44">
        <v>113.4</v>
      </c>
      <c r="W44">
        <v>113.4</v>
      </c>
      <c r="X44">
        <v>111.4</v>
      </c>
      <c r="Y44">
        <v>111.2</v>
      </c>
      <c r="Z44">
        <v>110.2</v>
      </c>
      <c r="AA44">
        <v>112.4</v>
      </c>
      <c r="AB44">
        <v>108.9</v>
      </c>
      <c r="AC44">
        <v>111.3</v>
      </c>
      <c r="AD44">
        <v>114.6</v>
      </c>
      <c r="AE44">
        <v>1491.4</v>
      </c>
      <c r="AF44">
        <v>219.10000000000002</v>
      </c>
      <c r="AG44">
        <v>349.6</v>
      </c>
      <c r="AH44">
        <v>226.10000000000002</v>
      </c>
      <c r="AI44">
        <v>114.6</v>
      </c>
      <c r="AJ44">
        <v>113.4</v>
      </c>
      <c r="AK44">
        <v>111.4</v>
      </c>
      <c r="AL44">
        <v>111.2</v>
      </c>
      <c r="AM44">
        <v>112.4</v>
      </c>
      <c r="AN44">
        <v>111.3</v>
      </c>
    </row>
    <row r="45" spans="1:40" x14ac:dyDescent="0.25">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c r="AE45">
        <v>1483</v>
      </c>
      <c r="AF45">
        <v>220.10000000000002</v>
      </c>
      <c r="AG45">
        <v>343.09999999999997</v>
      </c>
      <c r="AH45">
        <v>226.2</v>
      </c>
      <c r="AI45">
        <v>116.7</v>
      </c>
      <c r="AJ45">
        <v>110.9</v>
      </c>
      <c r="AK45">
        <v>110.8</v>
      </c>
      <c r="AL45">
        <v>111.6</v>
      </c>
      <c r="AM45">
        <v>111.8</v>
      </c>
      <c r="AN45">
        <v>111.4</v>
      </c>
    </row>
    <row r="46" spans="1:40" x14ac:dyDescent="0.25">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c r="AE46">
        <v>1488.2999999999997</v>
      </c>
      <c r="AF46">
        <v>219.6</v>
      </c>
      <c r="AG46">
        <v>346.9</v>
      </c>
      <c r="AH46">
        <v>226.4</v>
      </c>
      <c r="AI46">
        <v>115.2</v>
      </c>
      <c r="AJ46">
        <v>112.5</v>
      </c>
      <c r="AK46">
        <v>111.2</v>
      </c>
      <c r="AL46">
        <v>111.4</v>
      </c>
      <c r="AM46">
        <v>112</v>
      </c>
      <c r="AN46">
        <v>111.3</v>
      </c>
    </row>
    <row r="47" spans="1:40" x14ac:dyDescent="0.25">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v>113.7</v>
      </c>
      <c r="V47">
        <v>113.4</v>
      </c>
      <c r="W47">
        <v>113.7</v>
      </c>
      <c r="X47">
        <v>111.8</v>
      </c>
      <c r="Y47">
        <v>111.2</v>
      </c>
      <c r="Z47">
        <v>110.5</v>
      </c>
      <c r="AA47">
        <v>113</v>
      </c>
      <c r="AB47">
        <v>108.9</v>
      </c>
      <c r="AC47">
        <v>111.5</v>
      </c>
      <c r="AD47">
        <v>115.4</v>
      </c>
      <c r="AE47">
        <v>1504.1000000000001</v>
      </c>
      <c r="AF47">
        <v>219.4</v>
      </c>
      <c r="AG47">
        <v>352</v>
      </c>
      <c r="AH47">
        <v>227.4</v>
      </c>
      <c r="AI47">
        <v>115.4</v>
      </c>
      <c r="AJ47">
        <v>113.4</v>
      </c>
      <c r="AK47">
        <v>111.8</v>
      </c>
      <c r="AL47">
        <v>111.2</v>
      </c>
      <c r="AM47">
        <v>113</v>
      </c>
      <c r="AN47">
        <v>111.5</v>
      </c>
    </row>
    <row r="48" spans="1:40" x14ac:dyDescent="0.25">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c r="AE48">
        <v>1504.0000000000002</v>
      </c>
      <c r="AF48">
        <v>220.3</v>
      </c>
      <c r="AG48">
        <v>344.5</v>
      </c>
      <c r="AH48">
        <v>227.3</v>
      </c>
      <c r="AI48">
        <v>117.6</v>
      </c>
      <c r="AJ48">
        <v>110.9</v>
      </c>
      <c r="AK48">
        <v>111</v>
      </c>
      <c r="AL48">
        <v>111.2</v>
      </c>
      <c r="AM48">
        <v>112.5</v>
      </c>
      <c r="AN48">
        <v>111.4</v>
      </c>
    </row>
    <row r="49" spans="1:40" x14ac:dyDescent="0.25">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c r="AE49">
        <v>1504.1</v>
      </c>
      <c r="AF49">
        <v>219.9</v>
      </c>
      <c r="AG49">
        <v>349</v>
      </c>
      <c r="AH49">
        <v>227.5</v>
      </c>
      <c r="AI49">
        <v>116</v>
      </c>
      <c r="AJ49">
        <v>112.5</v>
      </c>
      <c r="AK49">
        <v>111.5</v>
      </c>
      <c r="AL49">
        <v>111.2</v>
      </c>
      <c r="AM49">
        <v>112.7</v>
      </c>
      <c r="AN49">
        <v>111.5</v>
      </c>
    </row>
    <row r="50" spans="1:40" x14ac:dyDescent="0.25">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v>114.1</v>
      </c>
      <c r="V50">
        <v>113.4</v>
      </c>
      <c r="W50">
        <v>114.1</v>
      </c>
      <c r="X50">
        <v>112.1</v>
      </c>
      <c r="Y50">
        <v>111.4</v>
      </c>
      <c r="Z50">
        <v>110.9</v>
      </c>
      <c r="AA50">
        <v>113.1</v>
      </c>
      <c r="AB50">
        <v>108.9</v>
      </c>
      <c r="AC50">
        <v>111.8</v>
      </c>
      <c r="AD50">
        <v>116</v>
      </c>
      <c r="AE50">
        <v>1513.8999999999999</v>
      </c>
      <c r="AF50">
        <v>219.8</v>
      </c>
      <c r="AG50">
        <v>354</v>
      </c>
      <c r="AH50">
        <v>228.2</v>
      </c>
      <c r="AI50">
        <v>116.3</v>
      </c>
      <c r="AJ50">
        <v>113.4</v>
      </c>
      <c r="AK50">
        <v>112.1</v>
      </c>
      <c r="AL50">
        <v>111.4</v>
      </c>
      <c r="AM50">
        <v>113.1</v>
      </c>
      <c r="AN50">
        <v>111.8</v>
      </c>
    </row>
    <row r="51" spans="1:40" x14ac:dyDescent="0.25">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c r="AE51">
        <v>1525.3000000000002</v>
      </c>
      <c r="AF51">
        <v>220.8</v>
      </c>
      <c r="AG51">
        <v>345.9</v>
      </c>
      <c r="AH51">
        <v>228.39999999999998</v>
      </c>
      <c r="AI51">
        <v>118.3</v>
      </c>
      <c r="AJ51">
        <v>111.1</v>
      </c>
      <c r="AK51">
        <v>111.2</v>
      </c>
      <c r="AL51">
        <v>111.3</v>
      </c>
      <c r="AM51">
        <v>112.9</v>
      </c>
      <c r="AN51">
        <v>111.7</v>
      </c>
    </row>
    <row r="52" spans="1:40" x14ac:dyDescent="0.25">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c r="AE52">
        <v>1518.5000000000005</v>
      </c>
      <c r="AF52">
        <v>220.3</v>
      </c>
      <c r="AG52">
        <v>350.79999999999995</v>
      </c>
      <c r="AH52">
        <v>228.39999999999998</v>
      </c>
      <c r="AI52">
        <v>116.8</v>
      </c>
      <c r="AJ52">
        <v>112.5</v>
      </c>
      <c r="AK52">
        <v>111.8</v>
      </c>
      <c r="AL52">
        <v>111.3</v>
      </c>
      <c r="AM52">
        <v>113</v>
      </c>
      <c r="AN52">
        <v>111.8</v>
      </c>
    </row>
    <row r="53" spans="1:40" x14ac:dyDescent="0.25">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v>114.1</v>
      </c>
      <c r="V53">
        <v>114.4</v>
      </c>
      <c r="W53">
        <v>114.9</v>
      </c>
      <c r="X53">
        <v>112.8</v>
      </c>
      <c r="Y53">
        <v>112.2</v>
      </c>
      <c r="Z53">
        <v>111.4</v>
      </c>
      <c r="AA53">
        <v>114.3</v>
      </c>
      <c r="AB53">
        <v>108</v>
      </c>
      <c r="AC53">
        <v>112.3</v>
      </c>
      <c r="AD53">
        <v>117</v>
      </c>
      <c r="AE53">
        <v>1525.6999999999998</v>
      </c>
      <c r="AF53">
        <v>219.4</v>
      </c>
      <c r="AG53">
        <v>356.3</v>
      </c>
      <c r="AH53">
        <v>229</v>
      </c>
      <c r="AI53">
        <v>117.3</v>
      </c>
      <c r="AJ53">
        <v>114.4</v>
      </c>
      <c r="AK53">
        <v>112.8</v>
      </c>
      <c r="AL53">
        <v>112.2</v>
      </c>
      <c r="AM53">
        <v>114.3</v>
      </c>
      <c r="AN53">
        <v>112.3</v>
      </c>
    </row>
    <row r="54" spans="1:40" x14ac:dyDescent="0.25">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c r="AE54">
        <v>1547</v>
      </c>
      <c r="AF54">
        <v>220.5</v>
      </c>
      <c r="AG54">
        <v>347.3</v>
      </c>
      <c r="AH54">
        <v>228.2</v>
      </c>
      <c r="AI54">
        <v>119</v>
      </c>
      <c r="AJ54">
        <v>111.2</v>
      </c>
      <c r="AK54">
        <v>111.4</v>
      </c>
      <c r="AL54">
        <v>111.5</v>
      </c>
      <c r="AM54">
        <v>115.1</v>
      </c>
      <c r="AN54">
        <v>112.2</v>
      </c>
    </row>
    <row r="55" spans="1:40" x14ac:dyDescent="0.25">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c r="AE55">
        <v>1533.7000000000003</v>
      </c>
      <c r="AF55">
        <v>219.89999999999998</v>
      </c>
      <c r="AG55">
        <v>352.7</v>
      </c>
      <c r="AH55">
        <v>228.5</v>
      </c>
      <c r="AI55">
        <v>117.8</v>
      </c>
      <c r="AJ55">
        <v>113.2</v>
      </c>
      <c r="AK55">
        <v>112.3</v>
      </c>
      <c r="AL55">
        <v>111.8</v>
      </c>
      <c r="AM55">
        <v>114.8</v>
      </c>
      <c r="AN55">
        <v>112.3</v>
      </c>
    </row>
    <row r="56" spans="1:40" x14ac:dyDescent="0.25">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v>114.3</v>
      </c>
      <c r="V56">
        <v>115.3</v>
      </c>
      <c r="W56">
        <v>115.4</v>
      </c>
      <c r="X56">
        <v>113.4</v>
      </c>
      <c r="Y56">
        <v>113.2</v>
      </c>
      <c r="Z56">
        <v>111.8</v>
      </c>
      <c r="AA56">
        <v>115.5</v>
      </c>
      <c r="AB56">
        <v>108.8</v>
      </c>
      <c r="AC56">
        <v>113.1</v>
      </c>
      <c r="AD56">
        <v>119.5</v>
      </c>
      <c r="AE56">
        <v>1563.2</v>
      </c>
      <c r="AF56">
        <v>220.6</v>
      </c>
      <c r="AG56">
        <v>359.3</v>
      </c>
      <c r="AH56">
        <v>229.7</v>
      </c>
      <c r="AI56">
        <v>118</v>
      </c>
      <c r="AJ56">
        <v>115.3</v>
      </c>
      <c r="AK56">
        <v>113.4</v>
      </c>
      <c r="AL56">
        <v>113.2</v>
      </c>
      <c r="AM56">
        <v>115.5</v>
      </c>
      <c r="AN56">
        <v>113.1</v>
      </c>
    </row>
    <row r="57" spans="1:40" x14ac:dyDescent="0.25">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c r="AE57">
        <v>1599.5</v>
      </c>
      <c r="AF57">
        <v>222.10000000000002</v>
      </c>
      <c r="AG57">
        <v>349</v>
      </c>
      <c r="AH57">
        <v>229.7</v>
      </c>
      <c r="AI57">
        <v>121</v>
      </c>
      <c r="AJ57">
        <v>111.6</v>
      </c>
      <c r="AK57">
        <v>111.5</v>
      </c>
      <c r="AL57">
        <v>113</v>
      </c>
      <c r="AM57">
        <v>117.8</v>
      </c>
      <c r="AN57">
        <v>113.5</v>
      </c>
    </row>
    <row r="58" spans="1:40" x14ac:dyDescent="0.25">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c r="AE58">
        <v>1576.3</v>
      </c>
      <c r="AF58">
        <v>221.3</v>
      </c>
      <c r="AG58">
        <v>355</v>
      </c>
      <c r="AH58">
        <v>230</v>
      </c>
      <c r="AI58">
        <v>118.8</v>
      </c>
      <c r="AJ58">
        <v>113.9</v>
      </c>
      <c r="AK58">
        <v>112.7</v>
      </c>
      <c r="AL58">
        <v>113.1</v>
      </c>
      <c r="AM58">
        <v>116.8</v>
      </c>
      <c r="AN58">
        <v>113.3</v>
      </c>
    </row>
    <row r="59" spans="1:40" x14ac:dyDescent="0.25">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v>115.1</v>
      </c>
      <c r="V59">
        <v>115.4</v>
      </c>
      <c r="W59">
        <v>115.9</v>
      </c>
      <c r="X59">
        <v>114</v>
      </c>
      <c r="Y59">
        <v>113.2</v>
      </c>
      <c r="Z59">
        <v>112.2</v>
      </c>
      <c r="AA59">
        <v>116.2</v>
      </c>
      <c r="AB59">
        <v>109.4</v>
      </c>
      <c r="AC59">
        <v>113.5</v>
      </c>
      <c r="AD59">
        <v>120.7</v>
      </c>
      <c r="AE59">
        <v>1582.2999999999997</v>
      </c>
      <c r="AF59">
        <v>221.60000000000002</v>
      </c>
      <c r="AG59">
        <v>360.4</v>
      </c>
      <c r="AH59">
        <v>231</v>
      </c>
      <c r="AI59">
        <v>118.8</v>
      </c>
      <c r="AJ59">
        <v>115.4</v>
      </c>
      <c r="AK59">
        <v>114</v>
      </c>
      <c r="AL59">
        <v>113.2</v>
      </c>
      <c r="AM59">
        <v>116.2</v>
      </c>
      <c r="AN59">
        <v>113.5</v>
      </c>
    </row>
    <row r="60" spans="1:40" x14ac:dyDescent="0.25">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c r="AE60">
        <v>1617</v>
      </c>
      <c r="AF60">
        <v>223.4</v>
      </c>
      <c r="AG60">
        <v>350.6</v>
      </c>
      <c r="AH60">
        <v>230.8</v>
      </c>
      <c r="AI60">
        <v>123</v>
      </c>
      <c r="AJ60">
        <v>111.8</v>
      </c>
      <c r="AK60">
        <v>112.2</v>
      </c>
      <c r="AL60">
        <v>112.5</v>
      </c>
      <c r="AM60">
        <v>119.2</v>
      </c>
      <c r="AN60">
        <v>113.9</v>
      </c>
    </row>
    <row r="61" spans="1:40" x14ac:dyDescent="0.25">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c r="AE61">
        <v>1594.4999999999998</v>
      </c>
      <c r="AF61">
        <v>222.5</v>
      </c>
      <c r="AG61">
        <v>356.4</v>
      </c>
      <c r="AH61">
        <v>231.1</v>
      </c>
      <c r="AI61">
        <v>119.9</v>
      </c>
      <c r="AJ61">
        <v>114</v>
      </c>
      <c r="AK61">
        <v>113.3</v>
      </c>
      <c r="AL61">
        <v>112.8</v>
      </c>
      <c r="AM61">
        <v>118</v>
      </c>
      <c r="AN61">
        <v>113.7</v>
      </c>
    </row>
    <row r="62" spans="1:40" x14ac:dyDescent="0.25">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v>115.8</v>
      </c>
      <c r="V62">
        <v>115.8</v>
      </c>
      <c r="W62">
        <v>116.7</v>
      </c>
      <c r="X62">
        <v>114.5</v>
      </c>
      <c r="Y62">
        <v>112.8</v>
      </c>
      <c r="Z62">
        <v>112.6</v>
      </c>
      <c r="AA62">
        <v>116.6</v>
      </c>
      <c r="AB62">
        <v>109.1</v>
      </c>
      <c r="AC62">
        <v>113.7</v>
      </c>
      <c r="AD62">
        <v>120.9</v>
      </c>
      <c r="AE62">
        <v>1583.2</v>
      </c>
      <c r="AF62">
        <v>221.7</v>
      </c>
      <c r="AG62">
        <v>362.2</v>
      </c>
      <c r="AH62">
        <v>232.5</v>
      </c>
      <c r="AI62">
        <v>119.5</v>
      </c>
      <c r="AJ62">
        <v>115.8</v>
      </c>
      <c r="AK62">
        <v>114.5</v>
      </c>
      <c r="AL62">
        <v>112.8</v>
      </c>
      <c r="AM62">
        <v>116.6</v>
      </c>
      <c r="AN62">
        <v>113.7</v>
      </c>
    </row>
    <row r="63" spans="1:40" x14ac:dyDescent="0.25">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c r="AE63">
        <v>1593.7000000000003</v>
      </c>
      <c r="AF63">
        <v>223.4</v>
      </c>
      <c r="AG63">
        <v>352.1</v>
      </c>
      <c r="AH63">
        <v>231.6</v>
      </c>
      <c r="AI63">
        <v>124.3</v>
      </c>
      <c r="AJ63">
        <v>111.8</v>
      </c>
      <c r="AK63">
        <v>112.3</v>
      </c>
      <c r="AL63">
        <v>111.2</v>
      </c>
      <c r="AM63">
        <v>120</v>
      </c>
      <c r="AN63">
        <v>113.6</v>
      </c>
    </row>
    <row r="64" spans="1:40" x14ac:dyDescent="0.25">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c r="AE64">
        <v>1586.0999999999997</v>
      </c>
      <c r="AF64">
        <v>222.6</v>
      </c>
      <c r="AG64">
        <v>358</v>
      </c>
      <c r="AH64">
        <v>232.2</v>
      </c>
      <c r="AI64">
        <v>120.8</v>
      </c>
      <c r="AJ64">
        <v>114.3</v>
      </c>
      <c r="AK64">
        <v>113.7</v>
      </c>
      <c r="AL64">
        <v>112</v>
      </c>
      <c r="AM64">
        <v>118.6</v>
      </c>
      <c r="AN64">
        <v>113.7</v>
      </c>
    </row>
    <row r="65" spans="1:40" x14ac:dyDescent="0.25">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v>116.4</v>
      </c>
      <c r="V65">
        <v>116.4</v>
      </c>
      <c r="W65">
        <v>117.5</v>
      </c>
      <c r="X65">
        <v>115.3</v>
      </c>
      <c r="Y65">
        <v>112.6</v>
      </c>
      <c r="Z65">
        <v>113</v>
      </c>
      <c r="AA65">
        <v>116.9</v>
      </c>
      <c r="AB65">
        <v>109.3</v>
      </c>
      <c r="AC65">
        <v>114</v>
      </c>
      <c r="AD65">
        <v>121</v>
      </c>
      <c r="AE65">
        <v>1581.1999999999998</v>
      </c>
      <c r="AF65">
        <v>222.3</v>
      </c>
      <c r="AG65">
        <v>365.3</v>
      </c>
      <c r="AH65">
        <v>233.9</v>
      </c>
      <c r="AI65">
        <v>120</v>
      </c>
      <c r="AJ65">
        <v>116.4</v>
      </c>
      <c r="AK65">
        <v>115.3</v>
      </c>
      <c r="AL65">
        <v>112.6</v>
      </c>
      <c r="AM65">
        <v>116.9</v>
      </c>
      <c r="AN65">
        <v>114</v>
      </c>
    </row>
    <row r="66" spans="1:40" x14ac:dyDescent="0.25">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c r="AE66">
        <v>1587.5</v>
      </c>
      <c r="AF66">
        <v>223.7</v>
      </c>
      <c r="AG66">
        <v>353.4</v>
      </c>
      <c r="AH66">
        <v>232.5</v>
      </c>
      <c r="AI66">
        <v>124.3</v>
      </c>
      <c r="AJ66">
        <v>112</v>
      </c>
      <c r="AK66">
        <v>112.6</v>
      </c>
      <c r="AL66">
        <v>111</v>
      </c>
      <c r="AM66">
        <v>120.2</v>
      </c>
      <c r="AN66">
        <v>113.7</v>
      </c>
    </row>
    <row r="67" spans="1:40" x14ac:dyDescent="0.25">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c r="AE67">
        <v>1582.7</v>
      </c>
      <c r="AF67">
        <v>222.89999999999998</v>
      </c>
      <c r="AG67">
        <v>360.6</v>
      </c>
      <c r="AH67">
        <v>233.4</v>
      </c>
      <c r="AI67">
        <v>121.1</v>
      </c>
      <c r="AJ67">
        <v>114.7</v>
      </c>
      <c r="AK67">
        <v>114.3</v>
      </c>
      <c r="AL67">
        <v>111.8</v>
      </c>
      <c r="AM67">
        <v>118.8</v>
      </c>
      <c r="AN67">
        <v>113.9</v>
      </c>
    </row>
    <row r="68" spans="1:40" x14ac:dyDescent="0.25">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v>116.9</v>
      </c>
      <c r="V68">
        <v>117.3</v>
      </c>
      <c r="W68">
        <v>118.1</v>
      </c>
      <c r="X68">
        <v>115.9</v>
      </c>
      <c r="Y68">
        <v>112</v>
      </c>
      <c r="Z68">
        <v>113.3</v>
      </c>
      <c r="AA68">
        <v>117.2</v>
      </c>
      <c r="AB68">
        <v>108.8</v>
      </c>
      <c r="AC68">
        <v>114.1</v>
      </c>
      <c r="AD68">
        <v>121.1</v>
      </c>
      <c r="AE68">
        <v>1582</v>
      </c>
      <c r="AF68">
        <v>222.1</v>
      </c>
      <c r="AG68">
        <v>366.70000000000005</v>
      </c>
      <c r="AH68">
        <v>235</v>
      </c>
      <c r="AI68">
        <v>120.8</v>
      </c>
      <c r="AJ68">
        <v>117.3</v>
      </c>
      <c r="AK68">
        <v>115.9</v>
      </c>
      <c r="AL68">
        <v>112</v>
      </c>
      <c r="AM68">
        <v>117.2</v>
      </c>
      <c r="AN68">
        <v>114.1</v>
      </c>
    </row>
    <row r="69" spans="1:40" x14ac:dyDescent="0.25">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c r="AE69">
        <v>1587.8</v>
      </c>
      <c r="AF69">
        <v>223.6</v>
      </c>
      <c r="AG69">
        <v>355.2</v>
      </c>
      <c r="AH69">
        <v>233.5</v>
      </c>
      <c r="AI69">
        <v>125.8</v>
      </c>
      <c r="AJ69">
        <v>112.6</v>
      </c>
      <c r="AK69">
        <v>113</v>
      </c>
      <c r="AL69">
        <v>109.7</v>
      </c>
      <c r="AM69">
        <v>120.3</v>
      </c>
      <c r="AN69">
        <v>113.4</v>
      </c>
    </row>
    <row r="70" spans="1:40" x14ac:dyDescent="0.25">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c r="AE70">
        <v>1583.2</v>
      </c>
      <c r="AF70">
        <v>222.8</v>
      </c>
      <c r="AG70">
        <v>362.1</v>
      </c>
      <c r="AH70">
        <v>234.39999999999998</v>
      </c>
      <c r="AI70">
        <v>122.1</v>
      </c>
      <c r="AJ70">
        <v>115.5</v>
      </c>
      <c r="AK70">
        <v>114.8</v>
      </c>
      <c r="AL70">
        <v>110.8</v>
      </c>
      <c r="AM70">
        <v>119</v>
      </c>
      <c r="AN70">
        <v>113.8</v>
      </c>
    </row>
    <row r="71" spans="1:40" x14ac:dyDescent="0.25">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v>116.8</v>
      </c>
      <c r="V71">
        <v>117.4</v>
      </c>
      <c r="W71">
        <v>118.2</v>
      </c>
      <c r="X71">
        <v>116.2</v>
      </c>
      <c r="Y71">
        <v>111.5</v>
      </c>
      <c r="Z71">
        <v>113.3</v>
      </c>
      <c r="AA71">
        <v>117.7</v>
      </c>
      <c r="AB71">
        <v>109.4</v>
      </c>
      <c r="AC71">
        <v>114.2</v>
      </c>
      <c r="AD71">
        <v>120.3</v>
      </c>
      <c r="AE71">
        <v>1569.6</v>
      </c>
      <c r="AF71">
        <v>222.7</v>
      </c>
      <c r="AG71">
        <v>367.7</v>
      </c>
      <c r="AH71">
        <v>235</v>
      </c>
      <c r="AI71">
        <v>121.7</v>
      </c>
      <c r="AJ71">
        <v>117.4</v>
      </c>
      <c r="AK71">
        <v>116.2</v>
      </c>
      <c r="AL71">
        <v>111.5</v>
      </c>
      <c r="AM71">
        <v>117.7</v>
      </c>
      <c r="AN71">
        <v>114.2</v>
      </c>
    </row>
    <row r="72" spans="1:40" x14ac:dyDescent="0.25">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c r="AE72">
        <v>1577.1999999999998</v>
      </c>
      <c r="AF72">
        <v>224.7</v>
      </c>
      <c r="AG72">
        <v>356.5</v>
      </c>
      <c r="AH72">
        <v>233.3</v>
      </c>
      <c r="AI72">
        <v>126.4</v>
      </c>
      <c r="AJ72">
        <v>113</v>
      </c>
      <c r="AK72">
        <v>113.2</v>
      </c>
      <c r="AL72">
        <v>108.8</v>
      </c>
      <c r="AM72">
        <v>120.7</v>
      </c>
      <c r="AN72">
        <v>113.4</v>
      </c>
    </row>
    <row r="73" spans="1:40" x14ac:dyDescent="0.25">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c r="AE73">
        <v>1571.6999999999998</v>
      </c>
      <c r="AF73">
        <v>223.7</v>
      </c>
      <c r="AG73">
        <v>363.2</v>
      </c>
      <c r="AH73">
        <v>234</v>
      </c>
      <c r="AI73">
        <v>123</v>
      </c>
      <c r="AJ73">
        <v>115.7</v>
      </c>
      <c r="AK73">
        <v>115.1</v>
      </c>
      <c r="AL73">
        <v>110.1</v>
      </c>
      <c r="AM73">
        <v>119.5</v>
      </c>
      <c r="AN73">
        <v>113.8</v>
      </c>
    </row>
    <row r="74" spans="1:40" x14ac:dyDescent="0.25">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v>116.9</v>
      </c>
      <c r="V74">
        <v>118.4</v>
      </c>
      <c r="W74">
        <v>118.9</v>
      </c>
      <c r="X74">
        <v>116.6</v>
      </c>
      <c r="Y74">
        <v>111</v>
      </c>
      <c r="Z74">
        <v>114</v>
      </c>
      <c r="AA74">
        <v>118.2</v>
      </c>
      <c r="AB74">
        <v>110.2</v>
      </c>
      <c r="AC74">
        <v>114.5</v>
      </c>
      <c r="AD74">
        <v>120.3</v>
      </c>
      <c r="AE74">
        <v>1568.1</v>
      </c>
      <c r="AF74">
        <v>224.2</v>
      </c>
      <c r="AG74">
        <v>370</v>
      </c>
      <c r="AH74">
        <v>235.8</v>
      </c>
      <c r="AI74">
        <v>122.7</v>
      </c>
      <c r="AJ74">
        <v>118.4</v>
      </c>
      <c r="AK74">
        <v>116.6</v>
      </c>
      <c r="AL74">
        <v>111</v>
      </c>
      <c r="AM74">
        <v>118.2</v>
      </c>
      <c r="AN74">
        <v>114.5</v>
      </c>
    </row>
    <row r="75" spans="1:40" x14ac:dyDescent="0.25">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c r="AE75">
        <v>1574.8999999999999</v>
      </c>
      <c r="AF75">
        <v>226</v>
      </c>
      <c r="AG75">
        <v>357.3</v>
      </c>
      <c r="AH75">
        <v>234.5</v>
      </c>
      <c r="AI75">
        <v>127.4</v>
      </c>
      <c r="AJ75">
        <v>113.4</v>
      </c>
      <c r="AK75">
        <v>113.7</v>
      </c>
      <c r="AL75">
        <v>107.9</v>
      </c>
      <c r="AM75">
        <v>120.8</v>
      </c>
      <c r="AN75">
        <v>113.4</v>
      </c>
    </row>
    <row r="76" spans="1:40" x14ac:dyDescent="0.25">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c r="AE76">
        <v>1569.3</v>
      </c>
      <c r="AF76">
        <v>225</v>
      </c>
      <c r="AG76">
        <v>364.9</v>
      </c>
      <c r="AH76">
        <v>235.39999999999998</v>
      </c>
      <c r="AI76">
        <v>124</v>
      </c>
      <c r="AJ76">
        <v>116.5</v>
      </c>
      <c r="AK76">
        <v>115.5</v>
      </c>
      <c r="AL76">
        <v>109.4</v>
      </c>
      <c r="AM76">
        <v>119.7</v>
      </c>
      <c r="AN76">
        <v>114</v>
      </c>
    </row>
    <row r="77" spans="1:40" x14ac:dyDescent="0.25">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v>117.7</v>
      </c>
      <c r="V77">
        <v>120</v>
      </c>
      <c r="W77">
        <v>119.6</v>
      </c>
      <c r="X77">
        <v>117.7</v>
      </c>
      <c r="Y77">
        <v>110.9</v>
      </c>
      <c r="Z77">
        <v>114.8</v>
      </c>
      <c r="AA77">
        <v>118.7</v>
      </c>
      <c r="AB77">
        <v>110.8</v>
      </c>
      <c r="AC77">
        <v>115</v>
      </c>
      <c r="AD77">
        <v>120.6</v>
      </c>
      <c r="AE77">
        <v>1570.5999999999997</v>
      </c>
      <c r="AF77">
        <v>225.6</v>
      </c>
      <c r="AG77">
        <v>373.1</v>
      </c>
      <c r="AH77">
        <v>237.3</v>
      </c>
      <c r="AI77">
        <v>124.2</v>
      </c>
      <c r="AJ77">
        <v>120</v>
      </c>
      <c r="AK77">
        <v>117.7</v>
      </c>
      <c r="AL77">
        <v>110.9</v>
      </c>
      <c r="AM77">
        <v>118.7</v>
      </c>
      <c r="AN77">
        <v>115</v>
      </c>
    </row>
    <row r="78" spans="1:40" x14ac:dyDescent="0.25">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c r="AE78">
        <v>1571.1000000000001</v>
      </c>
      <c r="AF78">
        <v>226.60000000000002</v>
      </c>
      <c r="AG78">
        <v>358.4</v>
      </c>
      <c r="AH78">
        <v>235.8</v>
      </c>
      <c r="AI78">
        <v>128.1</v>
      </c>
      <c r="AJ78">
        <v>114</v>
      </c>
      <c r="AK78">
        <v>114.1</v>
      </c>
      <c r="AL78">
        <v>106.8</v>
      </c>
      <c r="AM78">
        <v>120.4</v>
      </c>
      <c r="AN78">
        <v>113.2</v>
      </c>
    </row>
    <row r="79" spans="1:40" x14ac:dyDescent="0.25">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c r="AE79">
        <v>1569.3999999999996</v>
      </c>
      <c r="AF79">
        <v>226.10000000000002</v>
      </c>
      <c r="AG79">
        <v>367.2</v>
      </c>
      <c r="AH79">
        <v>236.8</v>
      </c>
      <c r="AI79">
        <v>125.2</v>
      </c>
      <c r="AJ79">
        <v>117.7</v>
      </c>
      <c r="AK79">
        <v>116.3</v>
      </c>
      <c r="AL79">
        <v>108.7</v>
      </c>
      <c r="AM79">
        <v>119.7</v>
      </c>
      <c r="AN79">
        <v>114.1</v>
      </c>
    </row>
    <row r="80" spans="1:40" x14ac:dyDescent="0.25">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v>118.3</v>
      </c>
      <c r="V80">
        <v>120.6</v>
      </c>
      <c r="W80">
        <v>120.2</v>
      </c>
      <c r="X80">
        <v>118.2</v>
      </c>
      <c r="Y80">
        <v>111.6</v>
      </c>
      <c r="Z80">
        <v>115.5</v>
      </c>
      <c r="AA80">
        <v>119.4</v>
      </c>
      <c r="AB80">
        <v>110.8</v>
      </c>
      <c r="AC80">
        <v>115.5</v>
      </c>
      <c r="AD80">
        <v>121.1</v>
      </c>
      <c r="AE80">
        <v>1571.5</v>
      </c>
      <c r="AF80">
        <v>226.3</v>
      </c>
      <c r="AG80">
        <v>374.4</v>
      </c>
      <c r="AH80">
        <v>238.5</v>
      </c>
      <c r="AI80">
        <v>124.7</v>
      </c>
      <c r="AJ80">
        <v>120.6</v>
      </c>
      <c r="AK80">
        <v>118.2</v>
      </c>
      <c r="AL80">
        <v>111.6</v>
      </c>
      <c r="AM80">
        <v>119.4</v>
      </c>
      <c r="AN80">
        <v>115.5</v>
      </c>
    </row>
    <row r="81" spans="1:40" x14ac:dyDescent="0.25">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c r="AE81">
        <v>1568.0000000000002</v>
      </c>
      <c r="AF81">
        <v>226.7</v>
      </c>
      <c r="AG81">
        <v>359.5</v>
      </c>
      <c r="AH81">
        <v>236.6</v>
      </c>
      <c r="AI81">
        <v>128.80000000000001</v>
      </c>
      <c r="AJ81">
        <v>114.4</v>
      </c>
      <c r="AK81">
        <v>114.3</v>
      </c>
      <c r="AL81">
        <v>108.4</v>
      </c>
      <c r="AM81">
        <v>120.6</v>
      </c>
      <c r="AN81">
        <v>113.8</v>
      </c>
    </row>
    <row r="82" spans="1:40" x14ac:dyDescent="0.25">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c r="AE82">
        <v>1569.1</v>
      </c>
      <c r="AF82">
        <v>226.4</v>
      </c>
      <c r="AG82">
        <v>368.4</v>
      </c>
      <c r="AH82">
        <v>237.8</v>
      </c>
      <c r="AI82">
        <v>125.8</v>
      </c>
      <c r="AJ82">
        <v>118.3</v>
      </c>
      <c r="AK82">
        <v>116.7</v>
      </c>
      <c r="AL82">
        <v>109.9</v>
      </c>
      <c r="AM82">
        <v>120.1</v>
      </c>
      <c r="AN82">
        <v>114.7</v>
      </c>
    </row>
    <row r="83" spans="1:40" x14ac:dyDescent="0.25">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v>118.9</v>
      </c>
      <c r="V83">
        <v>121.2</v>
      </c>
      <c r="W83">
        <v>120.9</v>
      </c>
      <c r="X83">
        <v>118.6</v>
      </c>
      <c r="Y83">
        <v>111.9</v>
      </c>
      <c r="Z83">
        <v>116.2</v>
      </c>
      <c r="AA83">
        <v>119.9</v>
      </c>
      <c r="AB83">
        <v>111.6</v>
      </c>
      <c r="AC83">
        <v>116</v>
      </c>
      <c r="AD83">
        <v>121.5</v>
      </c>
      <c r="AE83">
        <v>1577.2</v>
      </c>
      <c r="AF83">
        <v>227.8</v>
      </c>
      <c r="AG83">
        <v>375.7</v>
      </c>
      <c r="AH83">
        <v>239.8</v>
      </c>
      <c r="AI83">
        <v>125.7</v>
      </c>
      <c r="AJ83">
        <v>121.2</v>
      </c>
      <c r="AK83">
        <v>118.6</v>
      </c>
      <c r="AL83">
        <v>111.9</v>
      </c>
      <c r="AM83">
        <v>119.9</v>
      </c>
      <c r="AN83">
        <v>116</v>
      </c>
    </row>
    <row r="84" spans="1:40" x14ac:dyDescent="0.25">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c r="AE84">
        <v>1576.1</v>
      </c>
      <c r="AF84">
        <v>227.39999999999998</v>
      </c>
      <c r="AG84">
        <v>360.6</v>
      </c>
      <c r="AH84">
        <v>237.60000000000002</v>
      </c>
      <c r="AI84">
        <v>130.1</v>
      </c>
      <c r="AJ84">
        <v>114.7</v>
      </c>
      <c r="AK84">
        <v>114.6</v>
      </c>
      <c r="AL84">
        <v>108.4</v>
      </c>
      <c r="AM84">
        <v>121.7</v>
      </c>
      <c r="AN84">
        <v>114.2</v>
      </c>
    </row>
    <row r="85" spans="1:40" x14ac:dyDescent="0.25">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c r="AE85">
        <v>1575.7</v>
      </c>
      <c r="AF85">
        <v>227.60000000000002</v>
      </c>
      <c r="AG85">
        <v>369.6</v>
      </c>
      <c r="AH85">
        <v>238.9</v>
      </c>
      <c r="AI85">
        <v>126.9</v>
      </c>
      <c r="AJ85">
        <v>118.7</v>
      </c>
      <c r="AK85">
        <v>117.1</v>
      </c>
      <c r="AL85">
        <v>110.1</v>
      </c>
      <c r="AM85">
        <v>121</v>
      </c>
      <c r="AN85">
        <v>115.1</v>
      </c>
    </row>
    <row r="86" spans="1:40" x14ac:dyDescent="0.25">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v>119.4</v>
      </c>
      <c r="V86">
        <v>121.9</v>
      </c>
      <c r="W86">
        <v>121.5</v>
      </c>
      <c r="X86">
        <v>119.4</v>
      </c>
      <c r="Y86">
        <v>113.3</v>
      </c>
      <c r="Z86">
        <v>116.7</v>
      </c>
      <c r="AA86">
        <v>120.5</v>
      </c>
      <c r="AB86">
        <v>112.3</v>
      </c>
      <c r="AC86">
        <v>116.9</v>
      </c>
      <c r="AD86">
        <v>122.4</v>
      </c>
      <c r="AE86">
        <v>1587.7</v>
      </c>
      <c r="AF86">
        <v>229</v>
      </c>
      <c r="AG86">
        <v>378.2</v>
      </c>
      <c r="AH86">
        <v>240.9</v>
      </c>
      <c r="AI86">
        <v>126.7</v>
      </c>
      <c r="AJ86">
        <v>121.9</v>
      </c>
      <c r="AK86">
        <v>119.4</v>
      </c>
      <c r="AL86">
        <v>113.3</v>
      </c>
      <c r="AM86">
        <v>120.5</v>
      </c>
      <c r="AN86">
        <v>116.9</v>
      </c>
    </row>
    <row r="87" spans="1:40" x14ac:dyDescent="0.25">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c r="AE87">
        <v>1598.9</v>
      </c>
      <c r="AF87">
        <v>228.4</v>
      </c>
      <c r="AG87">
        <v>361.4</v>
      </c>
      <c r="AH87">
        <v>238.3</v>
      </c>
      <c r="AI87">
        <v>131.30000000000001</v>
      </c>
      <c r="AJ87">
        <v>114.9</v>
      </c>
      <c r="AK87">
        <v>114.9</v>
      </c>
      <c r="AL87">
        <v>110.8</v>
      </c>
      <c r="AM87">
        <v>122</v>
      </c>
      <c r="AN87">
        <v>115.2</v>
      </c>
    </row>
    <row r="88" spans="1:40" x14ac:dyDescent="0.25">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c r="AE88">
        <v>1590.4</v>
      </c>
      <c r="AF88">
        <v>228.6</v>
      </c>
      <c r="AG88">
        <v>371.4</v>
      </c>
      <c r="AH88">
        <v>239.8</v>
      </c>
      <c r="AI88">
        <v>127.9</v>
      </c>
      <c r="AJ88">
        <v>119.2</v>
      </c>
      <c r="AK88">
        <v>117.7</v>
      </c>
      <c r="AL88">
        <v>112</v>
      </c>
      <c r="AM88">
        <v>121.4</v>
      </c>
      <c r="AN88">
        <v>116.1</v>
      </c>
    </row>
    <row r="89" spans="1:40" x14ac:dyDescent="0.25">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v>119.3</v>
      </c>
      <c r="V89">
        <v>122.6</v>
      </c>
      <c r="W89">
        <v>122.8</v>
      </c>
      <c r="X89">
        <v>120.4</v>
      </c>
      <c r="Y89">
        <v>114.2</v>
      </c>
      <c r="Z89">
        <v>117.9</v>
      </c>
      <c r="AA89">
        <v>122</v>
      </c>
      <c r="AB89">
        <v>113</v>
      </c>
      <c r="AC89">
        <v>117.9</v>
      </c>
      <c r="AD89">
        <v>124.1</v>
      </c>
      <c r="AE89">
        <v>1617.8999999999999</v>
      </c>
      <c r="AF89">
        <v>230.9</v>
      </c>
      <c r="AG89">
        <v>381.5</v>
      </c>
      <c r="AH89">
        <v>242.1</v>
      </c>
      <c r="AI89">
        <v>128.19999999999999</v>
      </c>
      <c r="AJ89">
        <v>122.6</v>
      </c>
      <c r="AK89">
        <v>120.4</v>
      </c>
      <c r="AL89">
        <v>114.2</v>
      </c>
      <c r="AM89">
        <v>122</v>
      </c>
      <c r="AN89">
        <v>117.9</v>
      </c>
    </row>
    <row r="90" spans="1:40" x14ac:dyDescent="0.25">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c r="AE90">
        <v>1636.6</v>
      </c>
      <c r="AF90">
        <v>228.7</v>
      </c>
      <c r="AG90">
        <v>363.1</v>
      </c>
      <c r="AH90">
        <v>238.2</v>
      </c>
      <c r="AI90">
        <v>132.1</v>
      </c>
      <c r="AJ90">
        <v>115.1</v>
      </c>
      <c r="AK90">
        <v>115.4</v>
      </c>
      <c r="AL90">
        <v>111.7</v>
      </c>
      <c r="AM90">
        <v>123.8</v>
      </c>
      <c r="AN90">
        <v>116</v>
      </c>
    </row>
    <row r="91" spans="1:40" x14ac:dyDescent="0.25">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c r="AE91">
        <v>1623.5</v>
      </c>
      <c r="AF91">
        <v>229.7</v>
      </c>
      <c r="AG91">
        <v>374.1</v>
      </c>
      <c r="AH91">
        <v>240.1</v>
      </c>
      <c r="AI91">
        <v>129.19999999999999</v>
      </c>
      <c r="AJ91">
        <v>119.8</v>
      </c>
      <c r="AK91">
        <v>118.5</v>
      </c>
      <c r="AL91">
        <v>112.9</v>
      </c>
      <c r="AM91">
        <v>123.1</v>
      </c>
      <c r="AN91">
        <v>117</v>
      </c>
    </row>
    <row r="92" spans="1:40" x14ac:dyDescent="0.25">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v>119.3</v>
      </c>
      <c r="V92">
        <v>123</v>
      </c>
      <c r="W92">
        <v>123</v>
      </c>
      <c r="X92">
        <v>120.8</v>
      </c>
      <c r="Y92">
        <v>114.1</v>
      </c>
      <c r="Z92">
        <v>118</v>
      </c>
      <c r="AA92">
        <v>122.9</v>
      </c>
      <c r="AB92">
        <v>112.7</v>
      </c>
      <c r="AC92">
        <v>118.1</v>
      </c>
      <c r="AD92">
        <v>124.7</v>
      </c>
      <c r="AE92">
        <v>1625.3</v>
      </c>
      <c r="AF92">
        <v>230.7</v>
      </c>
      <c r="AG92">
        <v>382.6</v>
      </c>
      <c r="AH92">
        <v>242.3</v>
      </c>
      <c r="AI92">
        <v>129.4</v>
      </c>
      <c r="AJ92">
        <v>123</v>
      </c>
      <c r="AK92">
        <v>120.8</v>
      </c>
      <c r="AL92">
        <v>114.1</v>
      </c>
      <c r="AM92">
        <v>122.9</v>
      </c>
      <c r="AN92">
        <v>118.1</v>
      </c>
    </row>
    <row r="93" spans="1:40" x14ac:dyDescent="0.25">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c r="AE93">
        <v>1642.8999999999999</v>
      </c>
      <c r="AF93">
        <v>228.3</v>
      </c>
      <c r="AG93">
        <v>364.1</v>
      </c>
      <c r="AH93">
        <v>239.4</v>
      </c>
      <c r="AI93">
        <v>133.1</v>
      </c>
      <c r="AJ93">
        <v>115.3</v>
      </c>
      <c r="AK93">
        <v>116</v>
      </c>
      <c r="AL93">
        <v>111.5</v>
      </c>
      <c r="AM93">
        <v>125.4</v>
      </c>
      <c r="AN93">
        <v>116.3</v>
      </c>
    </row>
    <row r="94" spans="1:40" x14ac:dyDescent="0.25">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c r="AE94">
        <v>1630.6000000000001</v>
      </c>
      <c r="AF94">
        <v>229.5</v>
      </c>
      <c r="AG94">
        <v>375.1</v>
      </c>
      <c r="AH94">
        <v>241.2</v>
      </c>
      <c r="AI94">
        <v>130.4</v>
      </c>
      <c r="AJ94">
        <v>120.1</v>
      </c>
      <c r="AK94">
        <v>119</v>
      </c>
      <c r="AL94">
        <v>112.7</v>
      </c>
      <c r="AM94">
        <v>124.4</v>
      </c>
      <c r="AN94">
        <v>117.2</v>
      </c>
    </row>
    <row r="95" spans="1:40" x14ac:dyDescent="0.25">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v>120.4</v>
      </c>
      <c r="V95">
        <v>123.8</v>
      </c>
      <c r="W95">
        <v>123.7</v>
      </c>
      <c r="X95">
        <v>121.1</v>
      </c>
      <c r="Y95">
        <v>113.6</v>
      </c>
      <c r="Z95">
        <v>118.5</v>
      </c>
      <c r="AA95">
        <v>123.6</v>
      </c>
      <c r="AB95">
        <v>112.5</v>
      </c>
      <c r="AC95">
        <v>118.2</v>
      </c>
      <c r="AD95">
        <v>126.1</v>
      </c>
      <c r="AE95">
        <v>1646.6</v>
      </c>
      <c r="AF95">
        <v>231</v>
      </c>
      <c r="AG95">
        <v>384.8</v>
      </c>
      <c r="AH95">
        <v>244.10000000000002</v>
      </c>
      <c r="AI95">
        <v>130.1</v>
      </c>
      <c r="AJ95">
        <v>123.8</v>
      </c>
      <c r="AK95">
        <v>121.1</v>
      </c>
      <c r="AL95">
        <v>113.6</v>
      </c>
      <c r="AM95">
        <v>123.6</v>
      </c>
      <c r="AN95">
        <v>118.2</v>
      </c>
    </row>
    <row r="96" spans="1:40" x14ac:dyDescent="0.25">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c r="AE96">
        <v>1658.8999999999999</v>
      </c>
      <c r="AF96">
        <v>229.2</v>
      </c>
      <c r="AG96">
        <v>364.8</v>
      </c>
      <c r="AH96">
        <v>240.9</v>
      </c>
      <c r="AI96">
        <v>134.19999999999999</v>
      </c>
      <c r="AJ96">
        <v>115.3</v>
      </c>
      <c r="AK96">
        <v>116.6</v>
      </c>
      <c r="AL96">
        <v>109.9</v>
      </c>
      <c r="AM96">
        <v>126.2</v>
      </c>
      <c r="AN96">
        <v>116.2</v>
      </c>
    </row>
    <row r="97" spans="1:40" x14ac:dyDescent="0.25">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c r="AE97">
        <v>1649.6</v>
      </c>
      <c r="AF97">
        <v>230.1</v>
      </c>
      <c r="AG97">
        <v>376.70000000000005</v>
      </c>
      <c r="AH97">
        <v>242.9</v>
      </c>
      <c r="AI97">
        <v>131.19999999999999</v>
      </c>
      <c r="AJ97">
        <v>120.6</v>
      </c>
      <c r="AK97">
        <v>119.4</v>
      </c>
      <c r="AL97">
        <v>111.7</v>
      </c>
      <c r="AM97">
        <v>125.1</v>
      </c>
      <c r="AN97">
        <v>117.2</v>
      </c>
    </row>
    <row r="98" spans="1:40" x14ac:dyDescent="0.25">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v>121.2</v>
      </c>
      <c r="V98">
        <v>123.7</v>
      </c>
      <c r="W98">
        <v>124.5</v>
      </c>
      <c r="X98">
        <v>121.4</v>
      </c>
      <c r="Y98">
        <v>113.8</v>
      </c>
      <c r="Z98">
        <v>119.6</v>
      </c>
      <c r="AA98">
        <v>124.5</v>
      </c>
      <c r="AB98">
        <v>113.7</v>
      </c>
      <c r="AC98">
        <v>118.8</v>
      </c>
      <c r="AD98">
        <v>127</v>
      </c>
      <c r="AE98">
        <v>1657.6000000000001</v>
      </c>
      <c r="AF98">
        <v>233.3</v>
      </c>
      <c r="AG98">
        <v>387.1</v>
      </c>
      <c r="AH98">
        <v>245.7</v>
      </c>
      <c r="AI98">
        <v>131</v>
      </c>
      <c r="AJ98">
        <v>123.7</v>
      </c>
      <c r="AK98">
        <v>121.4</v>
      </c>
      <c r="AL98">
        <v>113.8</v>
      </c>
      <c r="AM98">
        <v>124.5</v>
      </c>
      <c r="AN98">
        <v>118.8</v>
      </c>
    </row>
    <row r="99" spans="1:40" x14ac:dyDescent="0.25">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c r="AE99">
        <v>1664.8</v>
      </c>
      <c r="AF99">
        <v>230.2</v>
      </c>
      <c r="AG99">
        <v>365.8</v>
      </c>
      <c r="AH99">
        <v>242</v>
      </c>
      <c r="AI99">
        <v>134.69999999999999</v>
      </c>
      <c r="AJ99">
        <v>115.1</v>
      </c>
      <c r="AK99">
        <v>117.1</v>
      </c>
      <c r="AL99">
        <v>109.1</v>
      </c>
      <c r="AM99">
        <v>126.5</v>
      </c>
      <c r="AN99">
        <v>116.2</v>
      </c>
    </row>
    <row r="100" spans="1:40" x14ac:dyDescent="0.25">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c r="AE100">
        <v>1658.3000000000002</v>
      </c>
      <c r="AF100">
        <v>231.7</v>
      </c>
      <c r="AG100">
        <v>378.5</v>
      </c>
      <c r="AH100">
        <v>244.2</v>
      </c>
      <c r="AI100">
        <v>132</v>
      </c>
      <c r="AJ100">
        <v>120.4</v>
      </c>
      <c r="AK100">
        <v>119.8</v>
      </c>
      <c r="AL100">
        <v>111.3</v>
      </c>
      <c r="AM100">
        <v>125.7</v>
      </c>
      <c r="AN100">
        <v>117.5</v>
      </c>
    </row>
    <row r="101" spans="1:40" x14ac:dyDescent="0.25">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v>122</v>
      </c>
      <c r="V101">
        <v>124.4</v>
      </c>
      <c r="W101">
        <v>125.1</v>
      </c>
      <c r="X101">
        <v>122</v>
      </c>
      <c r="Y101">
        <v>113.8</v>
      </c>
      <c r="Z101">
        <v>120.1</v>
      </c>
      <c r="AA101">
        <v>125.1</v>
      </c>
      <c r="AB101">
        <v>114.2</v>
      </c>
      <c r="AC101">
        <v>119.2</v>
      </c>
      <c r="AD101">
        <v>127.7</v>
      </c>
      <c r="AE101">
        <v>1674.6</v>
      </c>
      <c r="AF101">
        <v>234.3</v>
      </c>
      <c r="AG101">
        <v>389</v>
      </c>
      <c r="AH101">
        <v>247.1</v>
      </c>
      <c r="AI101">
        <v>131.5</v>
      </c>
      <c r="AJ101">
        <v>124.4</v>
      </c>
      <c r="AK101">
        <v>122</v>
      </c>
      <c r="AL101">
        <v>113.8</v>
      </c>
      <c r="AM101">
        <v>125.1</v>
      </c>
      <c r="AN101">
        <v>119.2</v>
      </c>
    </row>
    <row r="102" spans="1:40" x14ac:dyDescent="0.25">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c r="AE102">
        <v>1692.8000000000002</v>
      </c>
      <c r="AF102">
        <v>231.2</v>
      </c>
      <c r="AG102">
        <v>366.79999999999995</v>
      </c>
      <c r="AH102">
        <v>243.10000000000002</v>
      </c>
      <c r="AI102">
        <v>135.30000000000001</v>
      </c>
      <c r="AJ102">
        <v>114.9</v>
      </c>
      <c r="AK102">
        <v>117.7</v>
      </c>
      <c r="AL102">
        <v>109.3</v>
      </c>
      <c r="AM102">
        <v>126.5</v>
      </c>
      <c r="AN102">
        <v>116.5</v>
      </c>
    </row>
    <row r="103" spans="1:40" x14ac:dyDescent="0.25">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c r="AE103">
        <v>1678.9999999999998</v>
      </c>
      <c r="AF103">
        <v>232.60000000000002</v>
      </c>
      <c r="AG103">
        <v>380.1</v>
      </c>
      <c r="AH103">
        <v>245.4</v>
      </c>
      <c r="AI103">
        <v>132.5</v>
      </c>
      <c r="AJ103">
        <v>120.8</v>
      </c>
      <c r="AK103">
        <v>120.4</v>
      </c>
      <c r="AL103">
        <v>111.4</v>
      </c>
      <c r="AM103">
        <v>125.9</v>
      </c>
      <c r="AN103">
        <v>117.9</v>
      </c>
    </row>
    <row r="104" spans="1:40" x14ac:dyDescent="0.25">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v>122.6</v>
      </c>
      <c r="V104">
        <v>125.6</v>
      </c>
      <c r="W104">
        <v>125.6</v>
      </c>
      <c r="X104">
        <v>122.6</v>
      </c>
      <c r="Y104">
        <v>114</v>
      </c>
      <c r="Z104">
        <v>120.9</v>
      </c>
      <c r="AA104">
        <v>125.8</v>
      </c>
      <c r="AB104">
        <v>114.2</v>
      </c>
      <c r="AC104">
        <v>119.6</v>
      </c>
      <c r="AD104">
        <v>128.30000000000001</v>
      </c>
      <c r="AE104">
        <v>1686.3</v>
      </c>
      <c r="AF104">
        <v>235.10000000000002</v>
      </c>
      <c r="AG104">
        <v>391.79999999999995</v>
      </c>
      <c r="AH104">
        <v>248.2</v>
      </c>
      <c r="AI104">
        <v>132.19999999999999</v>
      </c>
      <c r="AJ104">
        <v>125.6</v>
      </c>
      <c r="AK104">
        <v>122.6</v>
      </c>
      <c r="AL104">
        <v>114</v>
      </c>
      <c r="AM104">
        <v>125.8</v>
      </c>
      <c r="AN104">
        <v>119.6</v>
      </c>
    </row>
    <row r="105" spans="1:40" x14ac:dyDescent="0.25">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c r="AE105">
        <v>1708.4999999999998</v>
      </c>
      <c r="AF105">
        <v>231.2</v>
      </c>
      <c r="AG105">
        <v>368.5</v>
      </c>
      <c r="AH105">
        <v>243.9</v>
      </c>
      <c r="AI105">
        <v>137.6</v>
      </c>
      <c r="AJ105">
        <v>115.1</v>
      </c>
      <c r="AK105">
        <v>118.1</v>
      </c>
      <c r="AL105">
        <v>109.3</v>
      </c>
      <c r="AM105">
        <v>126.6</v>
      </c>
      <c r="AN105">
        <v>116.6</v>
      </c>
    </row>
    <row r="106" spans="1:40" x14ac:dyDescent="0.25">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c r="AE106">
        <v>1692.1</v>
      </c>
      <c r="AF106">
        <v>233</v>
      </c>
      <c r="AG106">
        <v>382.4</v>
      </c>
      <c r="AH106">
        <v>246.3</v>
      </c>
      <c r="AI106">
        <v>133.6</v>
      </c>
      <c r="AJ106">
        <v>121.6</v>
      </c>
      <c r="AK106">
        <v>120.9</v>
      </c>
      <c r="AL106">
        <v>111.5</v>
      </c>
      <c r="AM106">
        <v>126.3</v>
      </c>
      <c r="AN106">
        <v>118.1</v>
      </c>
    </row>
    <row r="107" spans="1:40" x14ac:dyDescent="0.25">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v>122.6</v>
      </c>
      <c r="V107">
        <v>125.7</v>
      </c>
      <c r="W107">
        <v>126</v>
      </c>
      <c r="X107">
        <v>123.1</v>
      </c>
      <c r="Y107">
        <v>114</v>
      </c>
      <c r="Z107">
        <v>121.6</v>
      </c>
      <c r="AA107">
        <v>125.6</v>
      </c>
      <c r="AB107">
        <v>114.1</v>
      </c>
      <c r="AC107">
        <v>119.8</v>
      </c>
      <c r="AD107">
        <v>127.9</v>
      </c>
      <c r="AE107">
        <v>1682.3000000000002</v>
      </c>
      <c r="AF107">
        <v>235.7</v>
      </c>
      <c r="AG107">
        <v>392.9</v>
      </c>
      <c r="AH107">
        <v>248.6</v>
      </c>
      <c r="AI107">
        <v>133.1</v>
      </c>
      <c r="AJ107">
        <v>125.7</v>
      </c>
      <c r="AK107">
        <v>123.1</v>
      </c>
      <c r="AL107">
        <v>114</v>
      </c>
      <c r="AM107">
        <v>125.6</v>
      </c>
      <c r="AN107">
        <v>119.8</v>
      </c>
    </row>
    <row r="108" spans="1:40" x14ac:dyDescent="0.25">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c r="AE108">
        <v>1698.8</v>
      </c>
      <c r="AF108">
        <v>231.3</v>
      </c>
      <c r="AG108">
        <v>369.4</v>
      </c>
      <c r="AH108">
        <v>243.4</v>
      </c>
      <c r="AI108">
        <v>138.19999999999999</v>
      </c>
      <c r="AJ108">
        <v>116</v>
      </c>
      <c r="AK108">
        <v>118.6</v>
      </c>
      <c r="AL108">
        <v>109.3</v>
      </c>
      <c r="AM108">
        <v>126.6</v>
      </c>
      <c r="AN108">
        <v>116.7</v>
      </c>
    </row>
    <row r="109" spans="1:40" x14ac:dyDescent="0.25">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c r="AE109">
        <v>1686.1000000000001</v>
      </c>
      <c r="AF109">
        <v>233.3</v>
      </c>
      <c r="AG109">
        <v>383.5</v>
      </c>
      <c r="AH109">
        <v>246</v>
      </c>
      <c r="AI109">
        <v>134.5</v>
      </c>
      <c r="AJ109">
        <v>122</v>
      </c>
      <c r="AK109">
        <v>121.4</v>
      </c>
      <c r="AL109">
        <v>111.5</v>
      </c>
      <c r="AM109">
        <v>126.2</v>
      </c>
      <c r="AN109">
        <v>118.3</v>
      </c>
    </row>
    <row r="110" spans="1:40" x14ac:dyDescent="0.25">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v>122.9</v>
      </c>
      <c r="V110">
        <v>126.2</v>
      </c>
      <c r="W110">
        <v>126.6</v>
      </c>
      <c r="X110">
        <v>123.7</v>
      </c>
      <c r="Y110">
        <v>113.6</v>
      </c>
      <c r="Z110">
        <v>121.4</v>
      </c>
      <c r="AA110">
        <v>126.2</v>
      </c>
      <c r="AB110">
        <v>114.9</v>
      </c>
      <c r="AC110">
        <v>120.1</v>
      </c>
      <c r="AD110">
        <v>128.1</v>
      </c>
      <c r="AE110">
        <v>1690.1000000000001</v>
      </c>
      <c r="AF110">
        <v>236.3</v>
      </c>
      <c r="AG110">
        <v>394.70000000000005</v>
      </c>
      <c r="AH110">
        <v>249.5</v>
      </c>
      <c r="AI110">
        <v>133.6</v>
      </c>
      <c r="AJ110">
        <v>126.2</v>
      </c>
      <c r="AK110">
        <v>123.7</v>
      </c>
      <c r="AL110">
        <v>113.6</v>
      </c>
      <c r="AM110">
        <v>126.2</v>
      </c>
      <c r="AN110">
        <v>120.1</v>
      </c>
    </row>
    <row r="111" spans="1:40" x14ac:dyDescent="0.25">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c r="AE111">
        <v>1701.4</v>
      </c>
      <c r="AF111">
        <v>232.5</v>
      </c>
      <c r="AG111">
        <v>370.5</v>
      </c>
      <c r="AH111">
        <v>245</v>
      </c>
      <c r="AI111">
        <v>139.5</v>
      </c>
      <c r="AJ111">
        <v>116.9</v>
      </c>
      <c r="AK111">
        <v>119.1</v>
      </c>
      <c r="AL111">
        <v>108.9</v>
      </c>
      <c r="AM111">
        <v>126.4</v>
      </c>
      <c r="AN111">
        <v>116.8</v>
      </c>
    </row>
    <row r="112" spans="1:40" x14ac:dyDescent="0.25">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c r="AE112">
        <v>1691.7</v>
      </c>
      <c r="AF112">
        <v>234.3</v>
      </c>
      <c r="AG112">
        <v>384.9</v>
      </c>
      <c r="AH112">
        <v>247.60000000000002</v>
      </c>
      <c r="AI112">
        <v>135.19999999999999</v>
      </c>
      <c r="AJ112">
        <v>122.7</v>
      </c>
      <c r="AK112">
        <v>122</v>
      </c>
      <c r="AL112">
        <v>111.1</v>
      </c>
      <c r="AM112">
        <v>126.3</v>
      </c>
      <c r="AN112">
        <v>118.5</v>
      </c>
    </row>
    <row r="113" spans="1:40" x14ac:dyDescent="0.25">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v>123.9</v>
      </c>
      <c r="V113">
        <v>127.5</v>
      </c>
      <c r="W113">
        <v>127.1</v>
      </c>
      <c r="X113">
        <v>124.3</v>
      </c>
      <c r="Y113">
        <v>113.9</v>
      </c>
      <c r="Z113">
        <v>122.3</v>
      </c>
      <c r="AA113">
        <v>127.1</v>
      </c>
      <c r="AB113">
        <v>116.8</v>
      </c>
      <c r="AC113">
        <v>120.9</v>
      </c>
      <c r="AD113">
        <v>127.9</v>
      </c>
      <c r="AE113">
        <v>1682.6</v>
      </c>
      <c r="AF113">
        <v>239.1</v>
      </c>
      <c r="AG113">
        <v>397.1</v>
      </c>
      <c r="AH113">
        <v>251</v>
      </c>
      <c r="AI113">
        <v>134.4</v>
      </c>
      <c r="AJ113">
        <v>127.5</v>
      </c>
      <c r="AK113">
        <v>124.3</v>
      </c>
      <c r="AL113">
        <v>113.9</v>
      </c>
      <c r="AM113">
        <v>127.1</v>
      </c>
      <c r="AN113">
        <v>120.9</v>
      </c>
    </row>
    <row r="114" spans="1:40" x14ac:dyDescent="0.25">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c r="AE114">
        <v>1676.1</v>
      </c>
      <c r="AF114">
        <v>235</v>
      </c>
      <c r="AG114">
        <v>371.6</v>
      </c>
      <c r="AH114">
        <v>246.2</v>
      </c>
      <c r="AI114">
        <v>140</v>
      </c>
      <c r="AJ114">
        <v>116</v>
      </c>
      <c r="AK114">
        <v>119.5</v>
      </c>
      <c r="AL114">
        <v>109.1</v>
      </c>
      <c r="AM114">
        <v>126.3</v>
      </c>
      <c r="AN114">
        <v>117.2</v>
      </c>
    </row>
    <row r="115" spans="1:40" x14ac:dyDescent="0.25">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c r="AE115">
        <v>1678.1</v>
      </c>
      <c r="AF115">
        <v>236.89999999999998</v>
      </c>
      <c r="AG115">
        <v>386.9</v>
      </c>
      <c r="AH115">
        <v>249</v>
      </c>
      <c r="AI115">
        <v>135.9</v>
      </c>
      <c r="AJ115">
        <v>123.1</v>
      </c>
      <c r="AK115">
        <v>122.5</v>
      </c>
      <c r="AL115">
        <v>111.4</v>
      </c>
      <c r="AM115">
        <v>126.6</v>
      </c>
      <c r="AN115">
        <v>119.1</v>
      </c>
    </row>
    <row r="116" spans="1:40" x14ac:dyDescent="0.25">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v>124.6</v>
      </c>
      <c r="V116">
        <v>127</v>
      </c>
      <c r="W116">
        <v>127.7</v>
      </c>
      <c r="X116">
        <v>124.8</v>
      </c>
      <c r="Y116">
        <v>113.6</v>
      </c>
      <c r="Z116">
        <v>122.5</v>
      </c>
      <c r="AA116">
        <v>127.5</v>
      </c>
      <c r="AB116">
        <v>117.4</v>
      </c>
      <c r="AC116">
        <v>121.1</v>
      </c>
      <c r="AD116">
        <v>128</v>
      </c>
      <c r="AE116">
        <v>1682.7000000000003</v>
      </c>
      <c r="AF116">
        <v>239.9</v>
      </c>
      <c r="AG116">
        <v>398.40000000000003</v>
      </c>
      <c r="AH116">
        <v>252.3</v>
      </c>
      <c r="AI116">
        <v>135</v>
      </c>
      <c r="AJ116">
        <v>127</v>
      </c>
      <c r="AK116">
        <v>124.8</v>
      </c>
      <c r="AL116">
        <v>113.6</v>
      </c>
      <c r="AM116">
        <v>127.5</v>
      </c>
      <c r="AN116">
        <v>121.1</v>
      </c>
    </row>
    <row r="117" spans="1:40" x14ac:dyDescent="0.25">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c r="AE117">
        <v>1667.6000000000001</v>
      </c>
      <c r="AF117">
        <v>236.2</v>
      </c>
      <c r="AG117">
        <v>372.2</v>
      </c>
      <c r="AH117">
        <v>247.2</v>
      </c>
      <c r="AI117">
        <v>140.6</v>
      </c>
      <c r="AJ117">
        <v>114.8</v>
      </c>
      <c r="AK117">
        <v>119.7</v>
      </c>
      <c r="AL117">
        <v>108.5</v>
      </c>
      <c r="AM117">
        <v>126.4</v>
      </c>
      <c r="AN117">
        <v>117.3</v>
      </c>
    </row>
    <row r="118" spans="1:40" x14ac:dyDescent="0.25">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c r="AE118">
        <v>1675.2</v>
      </c>
      <c r="AF118">
        <v>237.89999999999998</v>
      </c>
      <c r="AG118">
        <v>387.9</v>
      </c>
      <c r="AH118">
        <v>250</v>
      </c>
      <c r="AI118">
        <v>136.5</v>
      </c>
      <c r="AJ118">
        <v>122.4</v>
      </c>
      <c r="AK118">
        <v>122.9</v>
      </c>
      <c r="AL118">
        <v>110.9</v>
      </c>
      <c r="AM118">
        <v>126.9</v>
      </c>
      <c r="AN118">
        <v>119.3</v>
      </c>
    </row>
    <row r="119" spans="1:40" x14ac:dyDescent="0.25">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v>125.2</v>
      </c>
      <c r="V119">
        <v>127</v>
      </c>
      <c r="W119">
        <v>128</v>
      </c>
      <c r="X119">
        <v>125.2</v>
      </c>
      <c r="Y119">
        <v>114.4</v>
      </c>
      <c r="Z119">
        <v>123.2</v>
      </c>
      <c r="AA119">
        <v>127.9</v>
      </c>
      <c r="AB119">
        <v>118.4</v>
      </c>
      <c r="AC119">
        <v>121.7</v>
      </c>
      <c r="AD119">
        <v>129</v>
      </c>
      <c r="AE119">
        <v>1701.6000000000004</v>
      </c>
      <c r="AF119">
        <v>241.60000000000002</v>
      </c>
      <c r="AG119">
        <v>400</v>
      </c>
      <c r="AH119">
        <v>253.2</v>
      </c>
      <c r="AI119">
        <v>135.5</v>
      </c>
      <c r="AJ119">
        <v>127</v>
      </c>
      <c r="AK119">
        <v>125.2</v>
      </c>
      <c r="AL119">
        <v>114.4</v>
      </c>
      <c r="AM119">
        <v>127.9</v>
      </c>
      <c r="AN119">
        <v>121.7</v>
      </c>
    </row>
    <row r="120" spans="1:40" x14ac:dyDescent="0.25">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c r="AE120">
        <v>1706.3</v>
      </c>
      <c r="AF120">
        <v>237.1</v>
      </c>
      <c r="AG120">
        <v>373.1</v>
      </c>
      <c r="AH120">
        <v>248.39999999999998</v>
      </c>
      <c r="AI120">
        <v>141.5</v>
      </c>
      <c r="AJ120">
        <v>114.6</v>
      </c>
      <c r="AK120">
        <v>120</v>
      </c>
      <c r="AL120">
        <v>110</v>
      </c>
      <c r="AM120">
        <v>127.6</v>
      </c>
      <c r="AN120">
        <v>118.2</v>
      </c>
    </row>
    <row r="121" spans="1:40" x14ac:dyDescent="0.25">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c r="AE121">
        <v>1701.3</v>
      </c>
      <c r="AF121">
        <v>239.2</v>
      </c>
      <c r="AG121">
        <v>389.20000000000005</v>
      </c>
      <c r="AH121">
        <v>251.1</v>
      </c>
      <c r="AI121">
        <v>137.1</v>
      </c>
      <c r="AJ121">
        <v>122.3</v>
      </c>
      <c r="AK121">
        <v>123.2</v>
      </c>
      <c r="AL121">
        <v>112.1</v>
      </c>
      <c r="AM121">
        <v>127.7</v>
      </c>
      <c r="AN121">
        <v>120</v>
      </c>
    </row>
    <row r="122" spans="1:40" x14ac:dyDescent="0.25">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v>125.8</v>
      </c>
      <c r="V122">
        <v>127.4</v>
      </c>
      <c r="W122">
        <v>128.5</v>
      </c>
      <c r="X122">
        <v>125.8</v>
      </c>
      <c r="Y122">
        <v>115.1</v>
      </c>
      <c r="Z122">
        <v>123.6</v>
      </c>
      <c r="AA122">
        <v>129.1</v>
      </c>
      <c r="AB122">
        <v>119.7</v>
      </c>
      <c r="AC122">
        <v>122.5</v>
      </c>
      <c r="AD122">
        <v>130.30000000000001</v>
      </c>
      <c r="AE122">
        <v>1723.6999999999998</v>
      </c>
      <c r="AF122">
        <v>243.3</v>
      </c>
      <c r="AG122">
        <v>401.3</v>
      </c>
      <c r="AH122">
        <v>254.3</v>
      </c>
      <c r="AI122">
        <v>136</v>
      </c>
      <c r="AJ122">
        <v>127.4</v>
      </c>
      <c r="AK122">
        <v>125.8</v>
      </c>
      <c r="AL122">
        <v>115.1</v>
      </c>
      <c r="AM122">
        <v>129.1</v>
      </c>
      <c r="AN122">
        <v>122.5</v>
      </c>
    </row>
    <row r="123" spans="1:40" x14ac:dyDescent="0.25">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c r="AE123">
        <v>1746.7999999999997</v>
      </c>
      <c r="AF123">
        <v>238.3</v>
      </c>
      <c r="AG123">
        <v>374.1</v>
      </c>
      <c r="AH123">
        <v>249.2</v>
      </c>
      <c r="AI123">
        <v>142.19999999999999</v>
      </c>
      <c r="AJ123">
        <v>115</v>
      </c>
      <c r="AK123">
        <v>120.3</v>
      </c>
      <c r="AL123">
        <v>110.7</v>
      </c>
      <c r="AM123">
        <v>128</v>
      </c>
      <c r="AN123">
        <v>118.7</v>
      </c>
    </row>
    <row r="124" spans="1:40" x14ac:dyDescent="0.25">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c r="AE124">
        <v>1730.4</v>
      </c>
      <c r="AF124">
        <v>240.7</v>
      </c>
      <c r="AG124">
        <v>390.4</v>
      </c>
      <c r="AH124">
        <v>252</v>
      </c>
      <c r="AI124">
        <v>137.69999999999999</v>
      </c>
      <c r="AJ124">
        <v>122.7</v>
      </c>
      <c r="AK124">
        <v>123.7</v>
      </c>
      <c r="AL124">
        <v>112.8</v>
      </c>
      <c r="AM124">
        <v>128.5</v>
      </c>
      <c r="AN124">
        <v>120.7</v>
      </c>
    </row>
    <row r="125" spans="1:40" x14ac:dyDescent="0.25">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v>125.8</v>
      </c>
      <c r="V125">
        <v>128</v>
      </c>
      <c r="W125">
        <v>129.30000000000001</v>
      </c>
      <c r="X125">
        <v>126.2</v>
      </c>
      <c r="Y125">
        <v>116.3</v>
      </c>
      <c r="Z125">
        <v>124.1</v>
      </c>
      <c r="AA125">
        <v>130.19999999999999</v>
      </c>
      <c r="AB125">
        <v>119.9</v>
      </c>
      <c r="AC125">
        <v>123.3</v>
      </c>
      <c r="AD125">
        <v>131.9</v>
      </c>
      <c r="AE125">
        <v>1748.6</v>
      </c>
      <c r="AF125">
        <v>244</v>
      </c>
      <c r="AG125">
        <v>403.5</v>
      </c>
      <c r="AH125">
        <v>255.10000000000002</v>
      </c>
      <c r="AI125">
        <v>137.19999999999999</v>
      </c>
      <c r="AJ125">
        <v>128</v>
      </c>
      <c r="AK125">
        <v>126.2</v>
      </c>
      <c r="AL125">
        <v>116.3</v>
      </c>
      <c r="AM125">
        <v>130.19999999999999</v>
      </c>
      <c r="AN125">
        <v>123.3</v>
      </c>
    </row>
    <row r="126" spans="1:40" x14ac:dyDescent="0.25">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c r="AE126">
        <v>1787.0000000000002</v>
      </c>
      <c r="AF126">
        <v>238.7</v>
      </c>
      <c r="AG126">
        <v>375.29999999999995</v>
      </c>
      <c r="AH126">
        <v>248.7</v>
      </c>
      <c r="AI126">
        <v>142.69999999999999</v>
      </c>
      <c r="AJ126">
        <v>115.5</v>
      </c>
      <c r="AK126">
        <v>120.6</v>
      </c>
      <c r="AL126">
        <v>112.3</v>
      </c>
      <c r="AM126">
        <v>129.30000000000001</v>
      </c>
      <c r="AN126">
        <v>119.6</v>
      </c>
    </row>
    <row r="127" spans="1:40" x14ac:dyDescent="0.25">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c r="AE127">
        <v>1760.6</v>
      </c>
      <c r="AF127">
        <v>241.10000000000002</v>
      </c>
      <c r="AG127">
        <v>392.1</v>
      </c>
      <c r="AH127">
        <v>251.9</v>
      </c>
      <c r="AI127">
        <v>138.69999999999999</v>
      </c>
      <c r="AJ127">
        <v>123.3</v>
      </c>
      <c r="AK127">
        <v>124.1</v>
      </c>
      <c r="AL127">
        <v>114.2</v>
      </c>
      <c r="AM127">
        <v>129.69999999999999</v>
      </c>
      <c r="AN127">
        <v>121.5</v>
      </c>
    </row>
    <row r="128" spans="1:40" x14ac:dyDescent="0.25">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v>125.9</v>
      </c>
      <c r="V128">
        <v>128.19999999999999</v>
      </c>
      <c r="W128">
        <v>130</v>
      </c>
      <c r="X128">
        <v>126.7</v>
      </c>
      <c r="Y128">
        <v>116.4</v>
      </c>
      <c r="Z128">
        <v>125.2</v>
      </c>
      <c r="AA128">
        <v>130.80000000000001</v>
      </c>
      <c r="AB128">
        <v>120.9</v>
      </c>
      <c r="AC128">
        <v>123.8</v>
      </c>
      <c r="AD128">
        <v>133</v>
      </c>
      <c r="AE128">
        <v>1770.2999999999997</v>
      </c>
      <c r="AF128">
        <v>246.10000000000002</v>
      </c>
      <c r="AG128">
        <v>405.9</v>
      </c>
      <c r="AH128">
        <v>255.9</v>
      </c>
      <c r="AI128">
        <v>138</v>
      </c>
      <c r="AJ128">
        <v>128.19999999999999</v>
      </c>
      <c r="AK128">
        <v>126.7</v>
      </c>
      <c r="AL128">
        <v>116.4</v>
      </c>
      <c r="AM128">
        <v>130.80000000000001</v>
      </c>
      <c r="AN128">
        <v>123.8</v>
      </c>
    </row>
    <row r="129" spans="1:40" x14ac:dyDescent="0.25">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c r="AE129">
        <v>1811.5000000000002</v>
      </c>
      <c r="AF129">
        <v>240.3</v>
      </c>
      <c r="AG129">
        <v>375.9</v>
      </c>
      <c r="AH129">
        <v>249.9</v>
      </c>
      <c r="AI129">
        <v>142.9</v>
      </c>
      <c r="AJ129">
        <v>115.5</v>
      </c>
      <c r="AK129">
        <v>120.9</v>
      </c>
      <c r="AL129">
        <v>111.7</v>
      </c>
      <c r="AM129">
        <v>130.80000000000001</v>
      </c>
      <c r="AN129">
        <v>119.9</v>
      </c>
    </row>
    <row r="130" spans="1:40" x14ac:dyDescent="0.25">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c r="AE130">
        <v>1783.5</v>
      </c>
      <c r="AF130">
        <v>242.9</v>
      </c>
      <c r="AG130">
        <v>393.8</v>
      </c>
      <c r="AH130">
        <v>253.3</v>
      </c>
      <c r="AI130">
        <v>139.30000000000001</v>
      </c>
      <c r="AJ130">
        <v>123.4</v>
      </c>
      <c r="AK130">
        <v>124.5</v>
      </c>
      <c r="AL130">
        <v>113.9</v>
      </c>
      <c r="AM130">
        <v>130.80000000000001</v>
      </c>
      <c r="AN130">
        <v>121.9</v>
      </c>
    </row>
    <row r="131" spans="1:40" x14ac:dyDescent="0.25">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v>126.8</v>
      </c>
      <c r="V131">
        <v>129.1</v>
      </c>
      <c r="W131">
        <v>130.6</v>
      </c>
      <c r="X131">
        <v>127</v>
      </c>
      <c r="Y131">
        <v>116</v>
      </c>
      <c r="Z131">
        <v>125.5</v>
      </c>
      <c r="AA131">
        <v>131.9</v>
      </c>
      <c r="AB131">
        <v>122</v>
      </c>
      <c r="AC131">
        <v>124.2</v>
      </c>
      <c r="AD131">
        <v>133.5</v>
      </c>
      <c r="AE131">
        <v>1777.4999999999998</v>
      </c>
      <c r="AF131">
        <v>247.5</v>
      </c>
      <c r="AG131">
        <v>407.9</v>
      </c>
      <c r="AH131">
        <v>257.39999999999998</v>
      </c>
      <c r="AI131">
        <v>138.9</v>
      </c>
      <c r="AJ131">
        <v>129.1</v>
      </c>
      <c r="AK131">
        <v>127</v>
      </c>
      <c r="AL131">
        <v>116</v>
      </c>
      <c r="AM131">
        <v>131.9</v>
      </c>
      <c r="AN131">
        <v>124.2</v>
      </c>
    </row>
    <row r="132" spans="1:40" x14ac:dyDescent="0.25">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c r="AE132">
        <v>1783.9999999999995</v>
      </c>
      <c r="AF132">
        <v>241.5</v>
      </c>
      <c r="AG132">
        <v>377</v>
      </c>
      <c r="AH132">
        <v>251.2</v>
      </c>
      <c r="AI132">
        <v>143.6</v>
      </c>
      <c r="AJ132">
        <v>114.7</v>
      </c>
      <c r="AK132">
        <v>121.2</v>
      </c>
      <c r="AL132">
        <v>110.4</v>
      </c>
      <c r="AM132">
        <v>131.5</v>
      </c>
      <c r="AN132">
        <v>119.9</v>
      </c>
    </row>
    <row r="133" spans="1:40" x14ac:dyDescent="0.25">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c r="AE133">
        <v>1777.9</v>
      </c>
      <c r="AF133">
        <v>244.2</v>
      </c>
      <c r="AG133">
        <v>395.49999999999994</v>
      </c>
      <c r="AH133">
        <v>254.7</v>
      </c>
      <c r="AI133">
        <v>140.19999999999999</v>
      </c>
      <c r="AJ133">
        <v>123.6</v>
      </c>
      <c r="AK133">
        <v>124.8</v>
      </c>
      <c r="AL133">
        <v>113.1</v>
      </c>
      <c r="AM133">
        <v>131.69999999999999</v>
      </c>
      <c r="AN133">
        <v>122.1</v>
      </c>
    </row>
    <row r="134" spans="1:40" x14ac:dyDescent="0.25">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v>127.5</v>
      </c>
      <c r="V134">
        <v>129.69999999999999</v>
      </c>
      <c r="W134">
        <v>131.1</v>
      </c>
      <c r="X134">
        <v>127.8</v>
      </c>
      <c r="Y134">
        <v>117</v>
      </c>
      <c r="Z134">
        <v>125.7</v>
      </c>
      <c r="AA134">
        <v>132.19999999999999</v>
      </c>
      <c r="AB134">
        <v>122.8</v>
      </c>
      <c r="AC134">
        <v>124.9</v>
      </c>
      <c r="AD134">
        <v>133.4</v>
      </c>
      <c r="AE134">
        <v>1770.7</v>
      </c>
      <c r="AF134">
        <v>248.5</v>
      </c>
      <c r="AG134">
        <v>409.8</v>
      </c>
      <c r="AH134">
        <v>258.60000000000002</v>
      </c>
      <c r="AI134">
        <v>139.9</v>
      </c>
      <c r="AJ134">
        <v>129.69999999999999</v>
      </c>
      <c r="AK134">
        <v>127.8</v>
      </c>
      <c r="AL134">
        <v>117</v>
      </c>
      <c r="AM134">
        <v>132.19999999999999</v>
      </c>
      <c r="AN134">
        <v>124.9</v>
      </c>
    </row>
    <row r="135" spans="1:40" x14ac:dyDescent="0.25">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c r="AE135">
        <v>1756.3999999999996</v>
      </c>
      <c r="AF135">
        <v>242</v>
      </c>
      <c r="AG135">
        <v>378</v>
      </c>
      <c r="AH135">
        <v>252.2</v>
      </c>
      <c r="AI135">
        <v>143.9</v>
      </c>
      <c r="AJ135">
        <v>114.8</v>
      </c>
      <c r="AK135">
        <v>121.4</v>
      </c>
      <c r="AL135">
        <v>111.8</v>
      </c>
      <c r="AM135">
        <v>131.6</v>
      </c>
      <c r="AN135">
        <v>120.5</v>
      </c>
    </row>
    <row r="136" spans="1:40" x14ac:dyDescent="0.25">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c r="AE136">
        <v>1763.6999999999998</v>
      </c>
      <c r="AF136">
        <v>245</v>
      </c>
      <c r="AG136">
        <v>397</v>
      </c>
      <c r="AH136">
        <v>255.8</v>
      </c>
      <c r="AI136">
        <v>141</v>
      </c>
      <c r="AJ136">
        <v>124.1</v>
      </c>
      <c r="AK136">
        <v>125.4</v>
      </c>
      <c r="AL136">
        <v>114.3</v>
      </c>
      <c r="AM136">
        <v>131.80000000000001</v>
      </c>
      <c r="AN136">
        <v>122.8</v>
      </c>
    </row>
    <row r="137" spans="1:40" x14ac:dyDescent="0.25">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v>128.30000000000001</v>
      </c>
      <c r="V137">
        <v>129.80000000000001</v>
      </c>
      <c r="W137">
        <v>131.80000000000001</v>
      </c>
      <c r="X137">
        <v>128.69999999999999</v>
      </c>
      <c r="Y137">
        <v>117.8</v>
      </c>
      <c r="Z137">
        <v>126.5</v>
      </c>
      <c r="AA137">
        <v>133</v>
      </c>
      <c r="AB137">
        <v>123</v>
      </c>
      <c r="AC137">
        <v>125.7</v>
      </c>
      <c r="AD137">
        <v>133.80000000000001</v>
      </c>
      <c r="AE137">
        <v>1771.8000000000002</v>
      </c>
      <c r="AF137">
        <v>249.5</v>
      </c>
      <c r="AG137">
        <v>412.7</v>
      </c>
      <c r="AH137">
        <v>260.10000000000002</v>
      </c>
      <c r="AI137">
        <v>140.9</v>
      </c>
      <c r="AJ137">
        <v>129.80000000000001</v>
      </c>
      <c r="AK137">
        <v>128.69999999999999</v>
      </c>
      <c r="AL137">
        <v>117.8</v>
      </c>
      <c r="AM137">
        <v>133</v>
      </c>
      <c r="AN137">
        <v>125.7</v>
      </c>
    </row>
    <row r="138" spans="1:40" x14ac:dyDescent="0.25">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c r="AE138">
        <v>1762.8999999999999</v>
      </c>
      <c r="AF138">
        <v>242</v>
      </c>
      <c r="AG138">
        <v>379</v>
      </c>
      <c r="AH138">
        <v>253.2</v>
      </c>
      <c r="AI138">
        <v>144.30000000000001</v>
      </c>
      <c r="AJ138">
        <v>115.2</v>
      </c>
      <c r="AK138">
        <v>121.8</v>
      </c>
      <c r="AL138">
        <v>112.8</v>
      </c>
      <c r="AM138">
        <v>131.9</v>
      </c>
      <c r="AN138">
        <v>120.9</v>
      </c>
    </row>
    <row r="139" spans="1:40" x14ac:dyDescent="0.25">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c r="AE139">
        <v>1766.7999999999995</v>
      </c>
      <c r="AF139">
        <v>245.6</v>
      </c>
      <c r="AG139">
        <v>399.1</v>
      </c>
      <c r="AH139">
        <v>257.10000000000002</v>
      </c>
      <c r="AI139">
        <v>141.80000000000001</v>
      </c>
      <c r="AJ139">
        <v>124.3</v>
      </c>
      <c r="AK139">
        <v>126.1</v>
      </c>
      <c r="AL139">
        <v>115.2</v>
      </c>
      <c r="AM139">
        <v>132.4</v>
      </c>
      <c r="AN139">
        <v>123.4</v>
      </c>
    </row>
    <row r="140" spans="1:40" x14ac:dyDescent="0.25">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v>128.9</v>
      </c>
      <c r="V140">
        <v>130.30000000000001</v>
      </c>
      <c r="W140">
        <v>132.1</v>
      </c>
      <c r="X140">
        <v>129.1</v>
      </c>
      <c r="Y140">
        <v>118.2</v>
      </c>
      <c r="Z140">
        <v>126.9</v>
      </c>
      <c r="AA140">
        <v>133.69999999999999</v>
      </c>
      <c r="AB140">
        <v>123.5</v>
      </c>
      <c r="AC140">
        <v>126.1</v>
      </c>
      <c r="AD140">
        <v>133.6</v>
      </c>
      <c r="AE140">
        <v>1764.6</v>
      </c>
      <c r="AF140">
        <v>250.4</v>
      </c>
      <c r="AG140">
        <v>413.59999999999997</v>
      </c>
      <c r="AH140">
        <v>261</v>
      </c>
      <c r="AI140">
        <v>141.19999999999999</v>
      </c>
      <c r="AJ140">
        <v>130.30000000000001</v>
      </c>
      <c r="AK140">
        <v>129.1</v>
      </c>
      <c r="AL140">
        <v>118.2</v>
      </c>
      <c r="AM140">
        <v>133.69999999999999</v>
      </c>
      <c r="AN140">
        <v>126.1</v>
      </c>
    </row>
    <row r="141" spans="1:40" x14ac:dyDescent="0.25">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c r="AE141">
        <v>1755.2</v>
      </c>
      <c r="AF141">
        <v>243</v>
      </c>
      <c r="AG141">
        <v>380.2</v>
      </c>
      <c r="AH141">
        <v>253.8</v>
      </c>
      <c r="AI141">
        <v>144.30000000000001</v>
      </c>
      <c r="AJ141">
        <v>116.2</v>
      </c>
      <c r="AK141">
        <v>122.1</v>
      </c>
      <c r="AL141">
        <v>113.4</v>
      </c>
      <c r="AM141">
        <v>132.1</v>
      </c>
      <c r="AN141">
        <v>121.3</v>
      </c>
    </row>
    <row r="142" spans="1:40" x14ac:dyDescent="0.25">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c r="AE142">
        <v>1759.8</v>
      </c>
      <c r="AF142">
        <v>246.6</v>
      </c>
      <c r="AG142">
        <v>400.1</v>
      </c>
      <c r="AH142">
        <v>257.7</v>
      </c>
      <c r="AI142">
        <v>142</v>
      </c>
      <c r="AJ142">
        <v>125</v>
      </c>
      <c r="AK142">
        <v>126.4</v>
      </c>
      <c r="AL142">
        <v>115.7</v>
      </c>
      <c r="AM142">
        <v>132.80000000000001</v>
      </c>
      <c r="AN142">
        <v>123.8</v>
      </c>
    </row>
    <row r="143" spans="1:40" x14ac:dyDescent="0.25">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v>128.9</v>
      </c>
      <c r="V143">
        <v>132</v>
      </c>
      <c r="W143">
        <v>132.9</v>
      </c>
      <c r="X143">
        <v>129.69999999999999</v>
      </c>
      <c r="Y143">
        <v>118.6</v>
      </c>
      <c r="Z143">
        <v>127.3</v>
      </c>
      <c r="AA143">
        <v>134.19999999999999</v>
      </c>
      <c r="AB143">
        <v>121.9</v>
      </c>
      <c r="AC143">
        <v>126.3</v>
      </c>
      <c r="AD143">
        <v>132.80000000000001</v>
      </c>
      <c r="AE143">
        <v>1749.1</v>
      </c>
      <c r="AF143">
        <v>249.2</v>
      </c>
      <c r="AG143">
        <v>415.3</v>
      </c>
      <c r="AH143">
        <v>261.8</v>
      </c>
      <c r="AI143">
        <v>142.4</v>
      </c>
      <c r="AJ143">
        <v>132</v>
      </c>
      <c r="AK143">
        <v>129.69999999999999</v>
      </c>
      <c r="AL143">
        <v>118.6</v>
      </c>
      <c r="AM143">
        <v>134.19999999999999</v>
      </c>
      <c r="AN143">
        <v>126.3</v>
      </c>
    </row>
    <row r="144" spans="1:40" x14ac:dyDescent="0.25">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c r="AE144">
        <v>1729.8</v>
      </c>
      <c r="AF144">
        <v>241.7</v>
      </c>
      <c r="AG144">
        <v>381</v>
      </c>
      <c r="AH144">
        <v>253.5</v>
      </c>
      <c r="AI144">
        <v>145</v>
      </c>
      <c r="AJ144">
        <v>117.8</v>
      </c>
      <c r="AK144">
        <v>122.3</v>
      </c>
      <c r="AL144">
        <v>113.7</v>
      </c>
      <c r="AM144">
        <v>132.30000000000001</v>
      </c>
      <c r="AN144">
        <v>121.4</v>
      </c>
    </row>
    <row r="145" spans="1:40" x14ac:dyDescent="0.25">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c r="AE145">
        <v>1740.7</v>
      </c>
      <c r="AF145">
        <v>245.3</v>
      </c>
      <c r="AG145">
        <v>401.5</v>
      </c>
      <c r="AH145">
        <v>257.7</v>
      </c>
      <c r="AI145">
        <v>143.1</v>
      </c>
      <c r="AJ145">
        <v>126.6</v>
      </c>
      <c r="AK145">
        <v>126.9</v>
      </c>
      <c r="AL145">
        <v>116</v>
      </c>
      <c r="AM145">
        <v>133.1</v>
      </c>
      <c r="AN145">
        <v>123.9</v>
      </c>
    </row>
    <row r="146" spans="1:40" x14ac:dyDescent="0.25">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v>128.9</v>
      </c>
      <c r="V146">
        <v>132.1</v>
      </c>
      <c r="W146">
        <v>133.19999999999999</v>
      </c>
      <c r="X146">
        <v>129.9</v>
      </c>
      <c r="Y146">
        <v>119.1</v>
      </c>
      <c r="Z146">
        <v>127</v>
      </c>
      <c r="AA146">
        <v>134.6</v>
      </c>
      <c r="AB146">
        <v>122.3</v>
      </c>
      <c r="AC146">
        <v>126.6</v>
      </c>
      <c r="AD146">
        <v>132.4</v>
      </c>
      <c r="AE146">
        <v>1737.3000000000002</v>
      </c>
      <c r="AF146">
        <v>249.3</v>
      </c>
      <c r="AG146">
        <v>416.5</v>
      </c>
      <c r="AH146">
        <v>262.10000000000002</v>
      </c>
      <c r="AI146">
        <v>143.1</v>
      </c>
      <c r="AJ146">
        <v>132.1</v>
      </c>
      <c r="AK146">
        <v>129.9</v>
      </c>
      <c r="AL146">
        <v>119.1</v>
      </c>
      <c r="AM146">
        <v>134.6</v>
      </c>
      <c r="AN146">
        <v>126.6</v>
      </c>
    </row>
    <row r="147" spans="1:40" x14ac:dyDescent="0.25">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c r="AE147">
        <v>1713.2</v>
      </c>
      <c r="AF147">
        <v>242.9</v>
      </c>
      <c r="AG147">
        <v>381.5</v>
      </c>
      <c r="AH147">
        <v>254.7</v>
      </c>
      <c r="AI147">
        <v>145.6</v>
      </c>
      <c r="AJ147">
        <v>118</v>
      </c>
      <c r="AK147">
        <v>122.6</v>
      </c>
      <c r="AL147">
        <v>115.2</v>
      </c>
      <c r="AM147">
        <v>132.4</v>
      </c>
      <c r="AN147">
        <v>122.1</v>
      </c>
    </row>
    <row r="148" spans="1:40" x14ac:dyDescent="0.25">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c r="AE148">
        <v>1727.2999999999995</v>
      </c>
      <c r="AF148">
        <v>245.9</v>
      </c>
      <c r="AG148">
        <v>402.4</v>
      </c>
      <c r="AH148">
        <v>259</v>
      </c>
      <c r="AI148">
        <v>143.80000000000001</v>
      </c>
      <c r="AJ148">
        <v>126.8</v>
      </c>
      <c r="AK148">
        <v>127.1</v>
      </c>
      <c r="AL148">
        <v>117</v>
      </c>
      <c r="AM148">
        <v>133.30000000000001</v>
      </c>
      <c r="AN148">
        <v>124.4</v>
      </c>
    </row>
    <row r="149" spans="1:40" x14ac:dyDescent="0.25">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v>129.80000000000001</v>
      </c>
      <c r="V149">
        <v>133.19999999999999</v>
      </c>
      <c r="W149">
        <v>133.6</v>
      </c>
      <c r="X149">
        <v>130.1</v>
      </c>
      <c r="Y149">
        <v>119.5</v>
      </c>
      <c r="Z149">
        <v>127.7</v>
      </c>
      <c r="AA149">
        <v>134.9</v>
      </c>
      <c r="AB149">
        <v>123.2</v>
      </c>
      <c r="AC149">
        <v>127</v>
      </c>
      <c r="AD149">
        <v>132.6</v>
      </c>
      <c r="AE149">
        <v>1734.5000000000002</v>
      </c>
      <c r="AF149">
        <v>250.9</v>
      </c>
      <c r="AG149">
        <v>416.90000000000003</v>
      </c>
      <c r="AH149">
        <v>263.39999999999998</v>
      </c>
      <c r="AI149">
        <v>143.69999999999999</v>
      </c>
      <c r="AJ149">
        <v>133.19999999999999</v>
      </c>
      <c r="AK149">
        <v>130.1</v>
      </c>
      <c r="AL149">
        <v>119.5</v>
      </c>
      <c r="AM149">
        <v>134.9</v>
      </c>
      <c r="AN149">
        <v>127</v>
      </c>
    </row>
    <row r="150" spans="1:40" x14ac:dyDescent="0.25">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c r="AE150">
        <v>1705.3000000000002</v>
      </c>
      <c r="AF150">
        <v>243.9</v>
      </c>
      <c r="AG150">
        <v>382.3</v>
      </c>
      <c r="AH150">
        <v>255.8</v>
      </c>
      <c r="AI150">
        <v>146.30000000000001</v>
      </c>
      <c r="AJ150">
        <v>119.2</v>
      </c>
      <c r="AK150">
        <v>122.9</v>
      </c>
      <c r="AL150">
        <v>115.5</v>
      </c>
      <c r="AM150">
        <v>132.4</v>
      </c>
      <c r="AN150">
        <v>122.4</v>
      </c>
    </row>
    <row r="151" spans="1:40" x14ac:dyDescent="0.25">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c r="AE151">
        <v>1722.3000000000002</v>
      </c>
      <c r="AF151">
        <v>247.2</v>
      </c>
      <c r="AG151">
        <v>403</v>
      </c>
      <c r="AH151">
        <v>260.2</v>
      </c>
      <c r="AI151">
        <v>144.4</v>
      </c>
      <c r="AJ151">
        <v>127.9</v>
      </c>
      <c r="AK151">
        <v>127.4</v>
      </c>
      <c r="AL151">
        <v>117.4</v>
      </c>
      <c r="AM151">
        <v>133.4</v>
      </c>
      <c r="AN151">
        <v>124.8</v>
      </c>
    </row>
    <row r="152" spans="1:40" x14ac:dyDescent="0.25">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v>130.9</v>
      </c>
      <c r="V152">
        <v>134.19999999999999</v>
      </c>
      <c r="W152">
        <v>134.1</v>
      </c>
      <c r="X152">
        <v>130.6</v>
      </c>
      <c r="Y152">
        <v>119.8</v>
      </c>
      <c r="Z152">
        <v>128.30000000000001</v>
      </c>
      <c r="AA152">
        <v>135.19999999999999</v>
      </c>
      <c r="AB152">
        <v>123.3</v>
      </c>
      <c r="AC152">
        <v>127.4</v>
      </c>
      <c r="AD152">
        <v>132.80000000000001</v>
      </c>
      <c r="AE152">
        <v>1728.5000000000002</v>
      </c>
      <c r="AF152">
        <v>251.60000000000002</v>
      </c>
      <c r="AG152">
        <v>418.59999999999997</v>
      </c>
      <c r="AH152">
        <v>265</v>
      </c>
      <c r="AI152">
        <v>144.19999999999999</v>
      </c>
      <c r="AJ152">
        <v>134.19999999999999</v>
      </c>
      <c r="AK152">
        <v>130.6</v>
      </c>
      <c r="AL152">
        <v>119.8</v>
      </c>
      <c r="AM152">
        <v>135.19999999999999</v>
      </c>
      <c r="AN152">
        <v>127.4</v>
      </c>
    </row>
    <row r="153" spans="1:40" x14ac:dyDescent="0.25">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c r="AE153">
        <v>1705.6999999999998</v>
      </c>
      <c r="AF153">
        <v>244.10000000000002</v>
      </c>
      <c r="AG153">
        <v>383.20000000000005</v>
      </c>
      <c r="AH153">
        <v>256.7</v>
      </c>
      <c r="AI153">
        <v>147.5</v>
      </c>
      <c r="AJ153">
        <v>120.8</v>
      </c>
      <c r="AK153">
        <v>123.1</v>
      </c>
      <c r="AL153">
        <v>115.6</v>
      </c>
      <c r="AM153">
        <v>132.80000000000001</v>
      </c>
      <c r="AN153">
        <v>122.6</v>
      </c>
    </row>
    <row r="154" spans="1:40" x14ac:dyDescent="0.25">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c r="AE154">
        <v>1718.9</v>
      </c>
      <c r="AF154">
        <v>247.6</v>
      </c>
      <c r="AG154">
        <v>404.29999999999995</v>
      </c>
      <c r="AH154">
        <v>261.2</v>
      </c>
      <c r="AI154">
        <v>145.1</v>
      </c>
      <c r="AJ154">
        <v>129.1</v>
      </c>
      <c r="AK154">
        <v>127.8</v>
      </c>
      <c r="AL154">
        <v>117.6</v>
      </c>
      <c r="AM154">
        <v>133.80000000000001</v>
      </c>
      <c r="AN154">
        <v>125.1</v>
      </c>
    </row>
    <row r="155" spans="1:40" x14ac:dyDescent="0.25">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v>131.5</v>
      </c>
      <c r="V155">
        <v>135</v>
      </c>
      <c r="W155">
        <v>134.30000000000001</v>
      </c>
      <c r="X155">
        <v>131</v>
      </c>
      <c r="Y155">
        <v>119.2</v>
      </c>
      <c r="Z155">
        <v>128.30000000000001</v>
      </c>
      <c r="AA155">
        <v>135.69999999999999</v>
      </c>
      <c r="AB155">
        <v>123.7</v>
      </c>
      <c r="AC155">
        <v>127.5</v>
      </c>
      <c r="AD155">
        <v>132.9</v>
      </c>
      <c r="AE155">
        <v>1726.3</v>
      </c>
      <c r="AF155">
        <v>252</v>
      </c>
      <c r="AG155">
        <v>420.80000000000007</v>
      </c>
      <c r="AH155">
        <v>265.8</v>
      </c>
      <c r="AI155">
        <v>144.4</v>
      </c>
      <c r="AJ155">
        <v>135</v>
      </c>
      <c r="AK155">
        <v>131</v>
      </c>
      <c r="AL155">
        <v>119.2</v>
      </c>
      <c r="AM155">
        <v>135.69999999999999</v>
      </c>
      <c r="AN155">
        <v>127.5</v>
      </c>
    </row>
    <row r="156" spans="1:40" x14ac:dyDescent="0.25">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c r="AE156">
        <v>1708.1</v>
      </c>
      <c r="AF156">
        <v>244.8</v>
      </c>
      <c r="AG156">
        <v>384.2</v>
      </c>
      <c r="AH156">
        <v>257.7</v>
      </c>
      <c r="AI156">
        <v>148</v>
      </c>
      <c r="AJ156">
        <v>121.4</v>
      </c>
      <c r="AK156">
        <v>123.4</v>
      </c>
      <c r="AL156">
        <v>114.3</v>
      </c>
      <c r="AM156">
        <v>133.6</v>
      </c>
      <c r="AN156">
        <v>122.5</v>
      </c>
    </row>
    <row r="157" spans="1:40" x14ac:dyDescent="0.25">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c r="AE157">
        <v>1718.4</v>
      </c>
      <c r="AF157">
        <v>248.2</v>
      </c>
      <c r="AG157">
        <v>406.1</v>
      </c>
      <c r="AH157">
        <v>262.10000000000002</v>
      </c>
      <c r="AI157">
        <v>145.4</v>
      </c>
      <c r="AJ157">
        <v>129.80000000000001</v>
      </c>
      <c r="AK157">
        <v>128.1</v>
      </c>
      <c r="AL157">
        <v>116.6</v>
      </c>
      <c r="AM157">
        <v>134.5</v>
      </c>
      <c r="AN157">
        <v>125.1</v>
      </c>
    </row>
    <row r="158" spans="1:40" x14ac:dyDescent="0.25">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v>131.9</v>
      </c>
      <c r="V158">
        <v>135</v>
      </c>
      <c r="W158">
        <v>134.9</v>
      </c>
      <c r="X158">
        <v>131.4</v>
      </c>
      <c r="Y158">
        <v>119.4</v>
      </c>
      <c r="Z158">
        <v>129.4</v>
      </c>
      <c r="AA158">
        <v>136.30000000000001</v>
      </c>
      <c r="AB158">
        <v>123.7</v>
      </c>
      <c r="AC158">
        <v>127.9</v>
      </c>
      <c r="AD158">
        <v>133.30000000000001</v>
      </c>
      <c r="AE158">
        <v>1727.4999999999995</v>
      </c>
      <c r="AF158">
        <v>253.10000000000002</v>
      </c>
      <c r="AG158">
        <v>421.6</v>
      </c>
      <c r="AH158">
        <v>266.8</v>
      </c>
      <c r="AI158">
        <v>145.5</v>
      </c>
      <c r="AJ158">
        <v>135</v>
      </c>
      <c r="AK158">
        <v>131.4</v>
      </c>
      <c r="AL158">
        <v>119.4</v>
      </c>
      <c r="AM158">
        <v>136.30000000000001</v>
      </c>
      <c r="AN158">
        <v>127.9</v>
      </c>
    </row>
    <row r="159" spans="1:40" x14ac:dyDescent="0.25">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c r="AE159">
        <v>1709.6</v>
      </c>
      <c r="AF159">
        <v>244.8</v>
      </c>
      <c r="AG159">
        <v>384.9</v>
      </c>
      <c r="AH159">
        <v>258.60000000000002</v>
      </c>
      <c r="AI159">
        <v>148.30000000000001</v>
      </c>
      <c r="AJ159">
        <v>120.1</v>
      </c>
      <c r="AK159">
        <v>123.6</v>
      </c>
      <c r="AL159">
        <v>114.3</v>
      </c>
      <c r="AM159">
        <v>133.80000000000001</v>
      </c>
      <c r="AN159">
        <v>122.6</v>
      </c>
    </row>
    <row r="160" spans="1:40" x14ac:dyDescent="0.25">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c r="AE160">
        <v>1719.6000000000001</v>
      </c>
      <c r="AF160">
        <v>248.7</v>
      </c>
      <c r="AG160">
        <v>406.8</v>
      </c>
      <c r="AH160">
        <v>263</v>
      </c>
      <c r="AI160">
        <v>146.19999999999999</v>
      </c>
      <c r="AJ160">
        <v>129.4</v>
      </c>
      <c r="AK160">
        <v>128.4</v>
      </c>
      <c r="AL160">
        <v>116.7</v>
      </c>
      <c r="AM160">
        <v>134.80000000000001</v>
      </c>
      <c r="AN160">
        <v>125.3</v>
      </c>
    </row>
    <row r="161" spans="1:40" x14ac:dyDescent="0.25">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v>131.30000000000001</v>
      </c>
      <c r="V161">
        <v>134.80000000000001</v>
      </c>
      <c r="W161">
        <v>135.19999999999999</v>
      </c>
      <c r="X161">
        <v>131.30000000000001</v>
      </c>
      <c r="Y161">
        <v>119.4</v>
      </c>
      <c r="Z161">
        <v>129.80000000000001</v>
      </c>
      <c r="AA161">
        <v>136.9</v>
      </c>
      <c r="AB161">
        <v>124.1</v>
      </c>
      <c r="AC161">
        <v>128.1</v>
      </c>
      <c r="AD161">
        <v>133.9</v>
      </c>
      <c r="AE161">
        <v>1738.8000000000002</v>
      </c>
      <c r="AF161">
        <v>253.9</v>
      </c>
      <c r="AG161">
        <v>423.09999999999997</v>
      </c>
      <c r="AH161">
        <v>266.5</v>
      </c>
      <c r="AI161">
        <v>145.80000000000001</v>
      </c>
      <c r="AJ161">
        <v>134.80000000000001</v>
      </c>
      <c r="AK161">
        <v>131.30000000000001</v>
      </c>
      <c r="AL161">
        <v>119.4</v>
      </c>
      <c r="AM161">
        <v>136.9</v>
      </c>
      <c r="AN161">
        <v>128.1</v>
      </c>
    </row>
    <row r="162" spans="1:40" x14ac:dyDescent="0.25">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c r="AE162">
        <v>1731.0000000000002</v>
      </c>
      <c r="AF162">
        <v>245.4</v>
      </c>
      <c r="AG162">
        <v>384.9</v>
      </c>
      <c r="AH162">
        <v>258.2</v>
      </c>
      <c r="AI162">
        <v>148.6</v>
      </c>
      <c r="AJ162">
        <v>119</v>
      </c>
      <c r="AK162">
        <v>123.8</v>
      </c>
      <c r="AL162">
        <v>113.9</v>
      </c>
      <c r="AM162">
        <v>134.30000000000001</v>
      </c>
      <c r="AN162">
        <v>122.7</v>
      </c>
    </row>
    <row r="163" spans="1:40" x14ac:dyDescent="0.25">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c r="AE163">
        <v>1734.7</v>
      </c>
      <c r="AF163">
        <v>249.3</v>
      </c>
      <c r="AG163">
        <v>407.7</v>
      </c>
      <c r="AH163">
        <v>262.60000000000002</v>
      </c>
      <c r="AI163">
        <v>146.5</v>
      </c>
      <c r="AJ163">
        <v>128.80000000000001</v>
      </c>
      <c r="AK163">
        <v>128.5</v>
      </c>
      <c r="AL163">
        <v>116.5</v>
      </c>
      <c r="AM163">
        <v>135.4</v>
      </c>
      <c r="AN163">
        <v>125.5</v>
      </c>
    </row>
    <row r="164" spans="1:40" x14ac:dyDescent="0.25">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v>131.80000000000001</v>
      </c>
      <c r="V164">
        <v>135.30000000000001</v>
      </c>
      <c r="W164">
        <v>136.1</v>
      </c>
      <c r="X164">
        <v>132.1</v>
      </c>
      <c r="Y164">
        <v>119.1</v>
      </c>
      <c r="Z164">
        <v>130.6</v>
      </c>
      <c r="AA164">
        <v>138.6</v>
      </c>
      <c r="AB164">
        <v>124.4</v>
      </c>
      <c r="AC164">
        <v>128.6</v>
      </c>
      <c r="AD164">
        <v>136.19999999999999</v>
      </c>
      <c r="AE164">
        <v>1772.9</v>
      </c>
      <c r="AF164">
        <v>255</v>
      </c>
      <c r="AG164">
        <v>425.9</v>
      </c>
      <c r="AH164">
        <v>267.89999999999998</v>
      </c>
      <c r="AI164">
        <v>147.4</v>
      </c>
      <c r="AJ164">
        <v>135.30000000000001</v>
      </c>
      <c r="AK164">
        <v>132.1</v>
      </c>
      <c r="AL164">
        <v>119.1</v>
      </c>
      <c r="AM164">
        <v>138.6</v>
      </c>
      <c r="AN164">
        <v>128.6</v>
      </c>
    </row>
    <row r="165" spans="1:40" x14ac:dyDescent="0.25">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c r="AE165">
        <v>1768.1</v>
      </c>
      <c r="AF165">
        <v>245.9</v>
      </c>
      <c r="AG165">
        <v>385.70000000000005</v>
      </c>
      <c r="AH165">
        <v>259.8</v>
      </c>
      <c r="AI165">
        <v>150.5</v>
      </c>
      <c r="AJ165">
        <v>119.7</v>
      </c>
      <c r="AK165">
        <v>125</v>
      </c>
      <c r="AL165">
        <v>113.2</v>
      </c>
      <c r="AM165">
        <v>135.5</v>
      </c>
      <c r="AN165">
        <v>123</v>
      </c>
    </row>
    <row r="166" spans="1:40" x14ac:dyDescent="0.25">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c r="AE166">
        <v>1769.3999999999999</v>
      </c>
      <c r="AF166">
        <v>250.2</v>
      </c>
      <c r="AG166">
        <v>409.7</v>
      </c>
      <c r="AH166">
        <v>264.5</v>
      </c>
      <c r="AI166">
        <v>148.19999999999999</v>
      </c>
      <c r="AJ166">
        <v>129.4</v>
      </c>
      <c r="AK166">
        <v>129.4</v>
      </c>
      <c r="AL166">
        <v>116</v>
      </c>
      <c r="AM166">
        <v>136.80000000000001</v>
      </c>
      <c r="AN166">
        <v>125.9</v>
      </c>
    </row>
    <row r="167" spans="1:40" x14ac:dyDescent="0.25">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v>133.5</v>
      </c>
      <c r="V167">
        <v>136.4</v>
      </c>
      <c r="W167">
        <v>137.30000000000001</v>
      </c>
      <c r="X167">
        <v>133</v>
      </c>
      <c r="Y167">
        <v>120.3</v>
      </c>
      <c r="Z167">
        <v>131.5</v>
      </c>
      <c r="AA167">
        <v>140.19999999999999</v>
      </c>
      <c r="AB167">
        <v>125.4</v>
      </c>
      <c r="AC167">
        <v>129.69999999999999</v>
      </c>
      <c r="AD167">
        <v>137.80000000000001</v>
      </c>
      <c r="AE167">
        <v>1792.4999999999998</v>
      </c>
      <c r="AF167">
        <v>256.89999999999998</v>
      </c>
      <c r="AG167">
        <v>429</v>
      </c>
      <c r="AH167">
        <v>270.8</v>
      </c>
      <c r="AI167">
        <v>149</v>
      </c>
      <c r="AJ167">
        <v>136.4</v>
      </c>
      <c r="AK167">
        <v>133</v>
      </c>
      <c r="AL167">
        <v>120.3</v>
      </c>
      <c r="AM167">
        <v>140.19999999999999</v>
      </c>
      <c r="AN167">
        <v>129.69999999999999</v>
      </c>
    </row>
    <row r="168" spans="1:40" x14ac:dyDescent="0.25">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c r="AE168">
        <v>1772.9999999999998</v>
      </c>
      <c r="AF168">
        <v>247.39999999999998</v>
      </c>
      <c r="AG168">
        <v>388.4</v>
      </c>
      <c r="AH168">
        <v>262.10000000000002</v>
      </c>
      <c r="AI168">
        <v>152.1</v>
      </c>
      <c r="AJ168">
        <v>118.9</v>
      </c>
      <c r="AK168">
        <v>125.7</v>
      </c>
      <c r="AL168">
        <v>114.6</v>
      </c>
      <c r="AM168">
        <v>135.69999999999999</v>
      </c>
      <c r="AN168">
        <v>123.8</v>
      </c>
    </row>
    <row r="169" spans="1:40" x14ac:dyDescent="0.25">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c r="AE169">
        <v>1783.8</v>
      </c>
      <c r="AF169">
        <v>251.8</v>
      </c>
      <c r="AG169">
        <v>412.6</v>
      </c>
      <c r="AH169">
        <v>267.20000000000005</v>
      </c>
      <c r="AI169">
        <v>149.80000000000001</v>
      </c>
      <c r="AJ169">
        <v>129.80000000000001</v>
      </c>
      <c r="AK169">
        <v>130.19999999999999</v>
      </c>
      <c r="AL169">
        <v>117.3</v>
      </c>
      <c r="AM169">
        <v>137.6</v>
      </c>
      <c r="AN169">
        <v>126.8</v>
      </c>
    </row>
    <row r="170" spans="1:40" x14ac:dyDescent="0.25">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v>134.9</v>
      </c>
      <c r="V170">
        <v>137.4</v>
      </c>
      <c r="W170">
        <v>137.9</v>
      </c>
      <c r="X170">
        <v>133.4</v>
      </c>
      <c r="Y170">
        <v>121.2</v>
      </c>
      <c r="Z170">
        <v>132.30000000000001</v>
      </c>
      <c r="AA170">
        <v>139.6</v>
      </c>
      <c r="AB170">
        <v>126.7</v>
      </c>
      <c r="AC170">
        <v>130.30000000000001</v>
      </c>
      <c r="AD170">
        <v>137.6</v>
      </c>
      <c r="AE170">
        <v>1784.3</v>
      </c>
      <c r="AF170">
        <v>259</v>
      </c>
      <c r="AG170">
        <v>430.99999999999994</v>
      </c>
      <c r="AH170">
        <v>272.8</v>
      </c>
      <c r="AI170">
        <v>149.80000000000001</v>
      </c>
      <c r="AJ170">
        <v>137.4</v>
      </c>
      <c r="AK170">
        <v>133.4</v>
      </c>
      <c r="AL170">
        <v>121.2</v>
      </c>
      <c r="AM170">
        <v>139.6</v>
      </c>
      <c r="AN170">
        <v>130.30000000000001</v>
      </c>
    </row>
    <row r="171" spans="1:40" x14ac:dyDescent="0.25">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c r="AE171">
        <v>1749.7</v>
      </c>
      <c r="AF171">
        <v>248.9</v>
      </c>
      <c r="AG171">
        <v>389.9</v>
      </c>
      <c r="AH171">
        <v>263.79999999999995</v>
      </c>
      <c r="AI171">
        <v>153.6</v>
      </c>
      <c r="AJ171">
        <v>120.6</v>
      </c>
      <c r="AK171">
        <v>126.1</v>
      </c>
      <c r="AL171">
        <v>115.7</v>
      </c>
      <c r="AM171">
        <v>135.9</v>
      </c>
      <c r="AN171">
        <v>124.5</v>
      </c>
    </row>
    <row r="172" spans="1:40" x14ac:dyDescent="0.25">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c r="AE172">
        <v>1769.9999999999998</v>
      </c>
      <c r="AF172">
        <v>253.60000000000002</v>
      </c>
      <c r="AG172">
        <v>414.5</v>
      </c>
      <c r="AH172">
        <v>269</v>
      </c>
      <c r="AI172">
        <v>150.80000000000001</v>
      </c>
      <c r="AJ172">
        <v>131</v>
      </c>
      <c r="AK172">
        <v>130.6</v>
      </c>
      <c r="AL172">
        <v>118.3</v>
      </c>
      <c r="AM172">
        <v>137.4</v>
      </c>
      <c r="AN172">
        <v>127.5</v>
      </c>
    </row>
    <row r="173" spans="1:40" x14ac:dyDescent="0.25">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v>136.4</v>
      </c>
      <c r="V173">
        <v>138.1</v>
      </c>
      <c r="W173">
        <v>138.4</v>
      </c>
      <c r="X173">
        <v>134.19999999999999</v>
      </c>
      <c r="Y173">
        <v>121</v>
      </c>
      <c r="Z173">
        <v>133</v>
      </c>
      <c r="AA173">
        <v>140.1</v>
      </c>
      <c r="AB173">
        <v>127.4</v>
      </c>
      <c r="AC173">
        <v>130.69999999999999</v>
      </c>
      <c r="AD173">
        <v>138.30000000000001</v>
      </c>
      <c r="AE173">
        <v>1790.8999999999999</v>
      </c>
      <c r="AF173">
        <v>260.39999999999998</v>
      </c>
      <c r="AG173">
        <v>433.99999999999994</v>
      </c>
      <c r="AH173">
        <v>274.8</v>
      </c>
      <c r="AI173">
        <v>150.5</v>
      </c>
      <c r="AJ173">
        <v>138.1</v>
      </c>
      <c r="AK173">
        <v>134.19999999999999</v>
      </c>
      <c r="AL173">
        <v>121</v>
      </c>
      <c r="AM173">
        <v>140.1</v>
      </c>
      <c r="AN173">
        <v>130.69999999999999</v>
      </c>
    </row>
    <row r="174" spans="1:40" x14ac:dyDescent="0.25">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c r="AE174">
        <v>1765.6999999999998</v>
      </c>
      <c r="AF174">
        <v>249.39999999999998</v>
      </c>
      <c r="AG174">
        <v>391.5</v>
      </c>
      <c r="AH174">
        <v>265.60000000000002</v>
      </c>
      <c r="AI174">
        <v>154.6</v>
      </c>
      <c r="AJ174">
        <v>122.6</v>
      </c>
      <c r="AK174">
        <v>126.6</v>
      </c>
      <c r="AL174">
        <v>115</v>
      </c>
      <c r="AM174">
        <v>136.30000000000001</v>
      </c>
      <c r="AN174">
        <v>124.5</v>
      </c>
    </row>
    <row r="175" spans="1:40" x14ac:dyDescent="0.25">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c r="AE175">
        <v>1779.6999999999998</v>
      </c>
      <c r="AF175">
        <v>254.60000000000002</v>
      </c>
      <c r="AG175">
        <v>416.90000000000003</v>
      </c>
      <c r="AH175">
        <v>270.89999999999998</v>
      </c>
      <c r="AI175">
        <v>151.6</v>
      </c>
      <c r="AJ175">
        <v>132.19999999999999</v>
      </c>
      <c r="AK175">
        <v>131.30000000000001</v>
      </c>
      <c r="AL175">
        <v>117.8</v>
      </c>
      <c r="AM175">
        <v>137.9</v>
      </c>
      <c r="AN175">
        <v>127.7</v>
      </c>
    </row>
    <row r="176" spans="1:40" x14ac:dyDescent="0.25">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v>137.9</v>
      </c>
      <c r="V176">
        <v>141.1</v>
      </c>
      <c r="W176">
        <v>139.4</v>
      </c>
      <c r="X176">
        <v>135.80000000000001</v>
      </c>
      <c r="Y176">
        <v>121.6</v>
      </c>
      <c r="Z176">
        <v>133.69999999999999</v>
      </c>
      <c r="AA176">
        <v>141.5</v>
      </c>
      <c r="AB176">
        <v>128.1</v>
      </c>
      <c r="AC176">
        <v>131.69999999999999</v>
      </c>
      <c r="AD176">
        <v>140</v>
      </c>
      <c r="AE176">
        <v>1817.7000000000003</v>
      </c>
      <c r="AF176">
        <v>261.79999999999995</v>
      </c>
      <c r="AG176">
        <v>437</v>
      </c>
      <c r="AH176">
        <v>277.3</v>
      </c>
      <c r="AI176">
        <v>152.1</v>
      </c>
      <c r="AJ176">
        <v>141.1</v>
      </c>
      <c r="AK176">
        <v>135.80000000000001</v>
      </c>
      <c r="AL176">
        <v>121.6</v>
      </c>
      <c r="AM176">
        <v>141.5</v>
      </c>
      <c r="AN176">
        <v>131.69999999999999</v>
      </c>
    </row>
    <row r="177" spans="1:40" x14ac:dyDescent="0.25">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c r="AE177">
        <v>1796.7</v>
      </c>
      <c r="AF177">
        <v>250</v>
      </c>
      <c r="AG177">
        <v>393.9</v>
      </c>
      <c r="AH177">
        <v>267.39999999999998</v>
      </c>
      <c r="AI177">
        <v>156.19999999999999</v>
      </c>
      <c r="AJ177">
        <v>125.7</v>
      </c>
      <c r="AK177">
        <v>127.4</v>
      </c>
      <c r="AL177">
        <v>115.3</v>
      </c>
      <c r="AM177">
        <v>136.6</v>
      </c>
      <c r="AN177">
        <v>124.9</v>
      </c>
    </row>
    <row r="178" spans="1:40" x14ac:dyDescent="0.25">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c r="AE178">
        <v>1808.2</v>
      </c>
      <c r="AF178">
        <v>255.7</v>
      </c>
      <c r="AG178">
        <v>419.6</v>
      </c>
      <c r="AH178">
        <v>273</v>
      </c>
      <c r="AI178">
        <v>153.19999999999999</v>
      </c>
      <c r="AJ178">
        <v>135.30000000000001</v>
      </c>
      <c r="AK178">
        <v>132.6</v>
      </c>
      <c r="AL178">
        <v>118.3</v>
      </c>
      <c r="AM178">
        <v>138.6</v>
      </c>
      <c r="AN178">
        <v>128.4</v>
      </c>
    </row>
    <row r="179" spans="1:40" x14ac:dyDescent="0.25">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v>138.80000000000001</v>
      </c>
      <c r="V179">
        <v>142.6</v>
      </c>
      <c r="W179">
        <v>139.5</v>
      </c>
      <c r="X179">
        <v>136.1</v>
      </c>
      <c r="Y179">
        <v>122</v>
      </c>
      <c r="Z179">
        <v>133.4</v>
      </c>
      <c r="AA179">
        <v>141.1</v>
      </c>
      <c r="AB179">
        <v>127.8</v>
      </c>
      <c r="AC179">
        <v>131.9</v>
      </c>
      <c r="AD179">
        <v>139.80000000000001</v>
      </c>
      <c r="AE179">
        <v>1813.6000000000001</v>
      </c>
      <c r="AF179">
        <v>261.2</v>
      </c>
      <c r="AG179">
        <v>437.09999999999997</v>
      </c>
      <c r="AH179">
        <v>278.3</v>
      </c>
      <c r="AI179">
        <v>153.19999999999999</v>
      </c>
      <c r="AJ179">
        <v>142.6</v>
      </c>
      <c r="AK179">
        <v>136.1</v>
      </c>
      <c r="AL179">
        <v>122</v>
      </c>
      <c r="AM179">
        <v>141.1</v>
      </c>
      <c r="AN179">
        <v>131.9</v>
      </c>
    </row>
    <row r="180" spans="1:40" x14ac:dyDescent="0.25">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c r="AE180">
        <v>1767.5</v>
      </c>
      <c r="AF180">
        <v>250.2</v>
      </c>
      <c r="AG180">
        <v>395.2</v>
      </c>
      <c r="AH180">
        <v>268.39999999999998</v>
      </c>
      <c r="AI180">
        <v>157</v>
      </c>
      <c r="AJ180">
        <v>126.8</v>
      </c>
      <c r="AK180">
        <v>128.19999999999999</v>
      </c>
      <c r="AL180">
        <v>115.3</v>
      </c>
      <c r="AM180">
        <v>136.69999999999999</v>
      </c>
      <c r="AN180">
        <v>125.1</v>
      </c>
    </row>
    <row r="181" spans="1:40" x14ac:dyDescent="0.25">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c r="AE181">
        <v>1794.9999999999998</v>
      </c>
      <c r="AF181">
        <v>255.5</v>
      </c>
      <c r="AG181">
        <v>420.2</v>
      </c>
      <c r="AH181">
        <v>273.79999999999995</v>
      </c>
      <c r="AI181">
        <v>154.19999999999999</v>
      </c>
      <c r="AJ181">
        <v>136.6</v>
      </c>
      <c r="AK181">
        <v>133.1</v>
      </c>
      <c r="AL181">
        <v>118.5</v>
      </c>
      <c r="AM181">
        <v>138.5</v>
      </c>
      <c r="AN181">
        <v>128.6</v>
      </c>
    </row>
    <row r="182" spans="1:40" x14ac:dyDescent="0.25">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v>139.5</v>
      </c>
      <c r="V182">
        <v>142.30000000000001</v>
      </c>
      <c r="W182">
        <v>139.80000000000001</v>
      </c>
      <c r="X182">
        <v>136</v>
      </c>
      <c r="Y182">
        <v>122.7</v>
      </c>
      <c r="Z182">
        <v>134.30000000000001</v>
      </c>
      <c r="AA182">
        <v>141.6</v>
      </c>
      <c r="AB182">
        <v>128.6</v>
      </c>
      <c r="AC182">
        <v>132.30000000000001</v>
      </c>
      <c r="AD182">
        <v>139.30000000000001</v>
      </c>
      <c r="AE182">
        <v>1800.7</v>
      </c>
      <c r="AF182">
        <v>262.89999999999998</v>
      </c>
      <c r="AG182">
        <v>438.1</v>
      </c>
      <c r="AH182">
        <v>279.3</v>
      </c>
      <c r="AI182">
        <v>153.6</v>
      </c>
      <c r="AJ182">
        <v>142.30000000000001</v>
      </c>
      <c r="AK182">
        <v>136</v>
      </c>
      <c r="AL182">
        <v>122.7</v>
      </c>
      <c r="AM182">
        <v>141.6</v>
      </c>
      <c r="AN182">
        <v>132.30000000000001</v>
      </c>
    </row>
    <row r="183" spans="1:40" x14ac:dyDescent="0.25">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c r="AE183">
        <v>1748.3000000000002</v>
      </c>
      <c r="AF183">
        <v>251.7</v>
      </c>
      <c r="AG183">
        <v>396.29999999999995</v>
      </c>
      <c r="AH183">
        <v>269.89999999999998</v>
      </c>
      <c r="AI183">
        <v>157.69999999999999</v>
      </c>
      <c r="AJ183">
        <v>127.3</v>
      </c>
      <c r="AK183">
        <v>129</v>
      </c>
      <c r="AL183">
        <v>116.3</v>
      </c>
      <c r="AM183">
        <v>137.1</v>
      </c>
      <c r="AN183">
        <v>125.8</v>
      </c>
    </row>
    <row r="184" spans="1:40" x14ac:dyDescent="0.25">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c r="AE184">
        <v>1779.9</v>
      </c>
      <c r="AF184">
        <v>257</v>
      </c>
      <c r="AG184">
        <v>421.3</v>
      </c>
      <c r="AH184">
        <v>275.3</v>
      </c>
      <c r="AI184">
        <v>154.69999999999999</v>
      </c>
      <c r="AJ184">
        <v>136.6</v>
      </c>
      <c r="AK184">
        <v>133.30000000000001</v>
      </c>
      <c r="AL184">
        <v>119.3</v>
      </c>
      <c r="AM184">
        <v>139</v>
      </c>
      <c r="AN184">
        <v>129.1</v>
      </c>
    </row>
    <row r="185" spans="1:40" x14ac:dyDescent="0.25">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v>140.9</v>
      </c>
      <c r="V185">
        <v>142.4</v>
      </c>
      <c r="W185">
        <v>139.9</v>
      </c>
      <c r="X185">
        <v>136.19999999999999</v>
      </c>
      <c r="Y185">
        <v>123.3</v>
      </c>
      <c r="Z185">
        <v>134.30000000000001</v>
      </c>
      <c r="AA185">
        <v>141.5</v>
      </c>
      <c r="AB185">
        <v>128.80000000000001</v>
      </c>
      <c r="AC185">
        <v>132.5</v>
      </c>
      <c r="AD185">
        <v>138.5</v>
      </c>
      <c r="AE185">
        <v>1781.5</v>
      </c>
      <c r="AF185">
        <v>263.10000000000002</v>
      </c>
      <c r="AG185">
        <v>438.90000000000003</v>
      </c>
      <c r="AH185">
        <v>280.8</v>
      </c>
      <c r="AI185">
        <v>153.30000000000001</v>
      </c>
      <c r="AJ185">
        <v>142.4</v>
      </c>
      <c r="AK185">
        <v>136.19999999999999</v>
      </c>
      <c r="AL185">
        <v>123.3</v>
      </c>
      <c r="AM185">
        <v>141.5</v>
      </c>
      <c r="AN185">
        <v>132.5</v>
      </c>
    </row>
    <row r="186" spans="1:40" x14ac:dyDescent="0.25">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c r="AE186">
        <v>1727.9</v>
      </c>
      <c r="AF186">
        <v>252.7</v>
      </c>
      <c r="AG186">
        <v>397.09999999999997</v>
      </c>
      <c r="AH186">
        <v>271.20000000000005</v>
      </c>
      <c r="AI186">
        <v>159.30000000000001</v>
      </c>
      <c r="AJ186">
        <v>127.3</v>
      </c>
      <c r="AK186">
        <v>129.80000000000001</v>
      </c>
      <c r="AL186">
        <v>117.4</v>
      </c>
      <c r="AM186">
        <v>137.19999999999999</v>
      </c>
      <c r="AN186">
        <v>126.5</v>
      </c>
    </row>
    <row r="187" spans="1:40" x14ac:dyDescent="0.25">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c r="AE187">
        <v>1760.3999999999996</v>
      </c>
      <c r="AF187">
        <v>257.60000000000002</v>
      </c>
      <c r="AG187">
        <v>422</v>
      </c>
      <c r="AH187">
        <v>276.5</v>
      </c>
      <c r="AI187">
        <v>154.9</v>
      </c>
      <c r="AJ187">
        <v>136.69999999999999</v>
      </c>
      <c r="AK187">
        <v>133.80000000000001</v>
      </c>
      <c r="AL187">
        <v>120.2</v>
      </c>
      <c r="AM187">
        <v>139</v>
      </c>
      <c r="AN187">
        <v>129.6</v>
      </c>
    </row>
    <row r="188" spans="1:40" x14ac:dyDescent="0.25">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v>141.5</v>
      </c>
      <c r="V188">
        <v>142.6</v>
      </c>
      <c r="W188">
        <v>139.9</v>
      </c>
      <c r="X188">
        <v>136.69999999999999</v>
      </c>
      <c r="Y188">
        <v>124.6</v>
      </c>
      <c r="Z188">
        <v>135.1</v>
      </c>
      <c r="AA188">
        <v>142.69999999999999</v>
      </c>
      <c r="AB188">
        <v>129.30000000000001</v>
      </c>
      <c r="AC188">
        <v>133.30000000000001</v>
      </c>
      <c r="AD188">
        <v>138.69999999999999</v>
      </c>
      <c r="AE188">
        <v>1781.9999999999998</v>
      </c>
      <c r="AF188">
        <v>264.39999999999998</v>
      </c>
      <c r="AG188">
        <v>440.5</v>
      </c>
      <c r="AH188">
        <v>281.39999999999998</v>
      </c>
      <c r="AI188">
        <v>155.1</v>
      </c>
      <c r="AJ188">
        <v>142.6</v>
      </c>
      <c r="AK188">
        <v>136.69999999999999</v>
      </c>
      <c r="AL188">
        <v>124.6</v>
      </c>
      <c r="AM188">
        <v>142.69999999999999</v>
      </c>
      <c r="AN188">
        <v>133.30000000000001</v>
      </c>
    </row>
    <row r="189" spans="1:40" x14ac:dyDescent="0.25">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c r="AE189">
        <v>1715.5</v>
      </c>
      <c r="AF189">
        <v>253.5</v>
      </c>
      <c r="AG189">
        <v>398.59999999999997</v>
      </c>
      <c r="AH189">
        <v>272.8</v>
      </c>
      <c r="AI189">
        <v>159.69999999999999</v>
      </c>
      <c r="AJ189">
        <v>126.4</v>
      </c>
      <c r="AK189">
        <v>130.5</v>
      </c>
      <c r="AL189">
        <v>117.8</v>
      </c>
      <c r="AM189">
        <v>137.80000000000001</v>
      </c>
      <c r="AN189">
        <v>127.1</v>
      </c>
    </row>
    <row r="190" spans="1:40" x14ac:dyDescent="0.25">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c r="AE190">
        <v>1756</v>
      </c>
      <c r="AF190">
        <v>258.60000000000002</v>
      </c>
      <c r="AG190">
        <v>423.6</v>
      </c>
      <c r="AH190">
        <v>277.60000000000002</v>
      </c>
      <c r="AI190">
        <v>156.30000000000001</v>
      </c>
      <c r="AJ190">
        <v>136.5</v>
      </c>
      <c r="AK190">
        <v>134.30000000000001</v>
      </c>
      <c r="AL190">
        <v>121</v>
      </c>
      <c r="AM190">
        <v>139.80000000000001</v>
      </c>
      <c r="AN190">
        <v>130.30000000000001</v>
      </c>
    </row>
    <row r="191" spans="1:40" x14ac:dyDescent="0.25">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v>142.5</v>
      </c>
      <c r="V191">
        <v>143.80000000000001</v>
      </c>
      <c r="W191">
        <v>140.9</v>
      </c>
      <c r="X191">
        <v>137.6</v>
      </c>
      <c r="Y191">
        <v>125.3</v>
      </c>
      <c r="Z191">
        <v>136</v>
      </c>
      <c r="AA191">
        <v>143.69999999999999</v>
      </c>
      <c r="AB191">
        <v>130.4</v>
      </c>
      <c r="AC191">
        <v>134.19999999999999</v>
      </c>
      <c r="AD191">
        <v>139.1</v>
      </c>
      <c r="AE191">
        <v>1780</v>
      </c>
      <c r="AF191">
        <v>266.39999999999998</v>
      </c>
      <c r="AG191">
        <v>442.5</v>
      </c>
      <c r="AH191">
        <v>283.39999999999998</v>
      </c>
      <c r="AI191">
        <v>156.1</v>
      </c>
      <c r="AJ191">
        <v>143.80000000000001</v>
      </c>
      <c r="AK191">
        <v>137.6</v>
      </c>
      <c r="AL191">
        <v>125.3</v>
      </c>
      <c r="AM191">
        <v>143.69999999999999</v>
      </c>
      <c r="AN191">
        <v>134.19999999999999</v>
      </c>
    </row>
    <row r="192" spans="1:40" x14ac:dyDescent="0.25">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c r="AE192">
        <v>1720.0000000000002</v>
      </c>
      <c r="AF192">
        <v>255.2</v>
      </c>
      <c r="AG192">
        <v>401.40000000000003</v>
      </c>
      <c r="AH192">
        <v>274.70000000000005</v>
      </c>
      <c r="AI192">
        <v>159.19999999999999</v>
      </c>
      <c r="AJ192">
        <v>124.6</v>
      </c>
      <c r="AK192">
        <v>131.30000000000001</v>
      </c>
      <c r="AL192">
        <v>118.9</v>
      </c>
      <c r="AM192">
        <v>139.69999999999999</v>
      </c>
      <c r="AN192">
        <v>128.19999999999999</v>
      </c>
    </row>
    <row r="193" spans="1:40" x14ac:dyDescent="0.25">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c r="AE193">
        <v>1757.1000000000001</v>
      </c>
      <c r="AF193">
        <v>260.5</v>
      </c>
      <c r="AG193">
        <v>426</v>
      </c>
      <c r="AH193">
        <v>279.5</v>
      </c>
      <c r="AI193">
        <v>156.9</v>
      </c>
      <c r="AJ193">
        <v>136.5</v>
      </c>
      <c r="AK193">
        <v>135.19999999999999</v>
      </c>
      <c r="AL193">
        <v>121.9</v>
      </c>
      <c r="AM193">
        <v>141.4</v>
      </c>
      <c r="AN193">
        <v>131.30000000000001</v>
      </c>
    </row>
    <row r="194" spans="1:40" x14ac:dyDescent="0.25">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v>143</v>
      </c>
      <c r="V194">
        <v>144.30000000000001</v>
      </c>
      <c r="W194">
        <v>141.80000000000001</v>
      </c>
      <c r="X194">
        <v>138.4</v>
      </c>
      <c r="Y194">
        <v>126.4</v>
      </c>
      <c r="Z194">
        <v>136.80000000000001</v>
      </c>
      <c r="AA194">
        <v>144.4</v>
      </c>
      <c r="AB194">
        <v>131.19999999999999</v>
      </c>
      <c r="AC194">
        <v>135.1</v>
      </c>
      <c r="AD194">
        <v>139.80000000000001</v>
      </c>
      <c r="AE194">
        <v>1782.4</v>
      </c>
      <c r="AF194">
        <v>268</v>
      </c>
      <c r="AG194">
        <v>444.7</v>
      </c>
      <c r="AH194">
        <v>284.8</v>
      </c>
      <c r="AI194">
        <v>157</v>
      </c>
      <c r="AJ194">
        <v>144.30000000000001</v>
      </c>
      <c r="AK194">
        <v>138.4</v>
      </c>
      <c r="AL194">
        <v>126.4</v>
      </c>
      <c r="AM194">
        <v>144.4</v>
      </c>
      <c r="AN194">
        <v>135.1</v>
      </c>
    </row>
    <row r="195" spans="1:40" x14ac:dyDescent="0.25">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c r="AE195">
        <v>1722.8999999999999</v>
      </c>
      <c r="AF195">
        <v>256.10000000000002</v>
      </c>
      <c r="AG195">
        <v>403.5</v>
      </c>
      <c r="AH195">
        <v>275.7</v>
      </c>
      <c r="AI195">
        <v>160.30000000000001</v>
      </c>
      <c r="AJ195">
        <v>124.7</v>
      </c>
      <c r="AK195">
        <v>132</v>
      </c>
      <c r="AL195">
        <v>119.8</v>
      </c>
      <c r="AM195">
        <v>140.4</v>
      </c>
      <c r="AN195">
        <v>128.9</v>
      </c>
    </row>
    <row r="196" spans="1:40" x14ac:dyDescent="0.25">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c r="AE196">
        <v>1759.8</v>
      </c>
      <c r="AF196">
        <v>261.70000000000005</v>
      </c>
      <c r="AG196">
        <v>428.09999999999997</v>
      </c>
      <c r="AH196">
        <v>280.60000000000002</v>
      </c>
      <c r="AI196">
        <v>157.9</v>
      </c>
      <c r="AJ196">
        <v>136.9</v>
      </c>
      <c r="AK196">
        <v>136</v>
      </c>
      <c r="AL196">
        <v>122.9</v>
      </c>
      <c r="AM196">
        <v>142.1</v>
      </c>
      <c r="AN196">
        <v>132.1</v>
      </c>
    </row>
    <row r="197" spans="1:40" x14ac:dyDescent="0.25">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v>143.9</v>
      </c>
      <c r="V197">
        <v>145.1</v>
      </c>
      <c r="W197">
        <v>142.19999999999999</v>
      </c>
      <c r="X197">
        <v>138.4</v>
      </c>
      <c r="Y197">
        <v>127.4</v>
      </c>
      <c r="Z197">
        <v>137.80000000000001</v>
      </c>
      <c r="AA197">
        <v>145.1</v>
      </c>
      <c r="AB197">
        <v>131.4</v>
      </c>
      <c r="AC197">
        <v>135.6</v>
      </c>
      <c r="AD197">
        <v>140.5</v>
      </c>
      <c r="AE197">
        <v>1790.2999999999997</v>
      </c>
      <c r="AF197">
        <v>269.20000000000005</v>
      </c>
      <c r="AG197">
        <v>446.3</v>
      </c>
      <c r="AH197">
        <v>286.10000000000002</v>
      </c>
      <c r="AI197">
        <v>157.30000000000001</v>
      </c>
      <c r="AJ197">
        <v>145.1</v>
      </c>
      <c r="AK197">
        <v>138.4</v>
      </c>
      <c r="AL197">
        <v>127.4</v>
      </c>
      <c r="AM197">
        <v>145.1</v>
      </c>
      <c r="AN197">
        <v>135.6</v>
      </c>
    </row>
    <row r="198" spans="1:40" x14ac:dyDescent="0.25">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c r="AE198">
        <v>1747.3000000000002</v>
      </c>
      <c r="AF198">
        <v>256.7</v>
      </c>
      <c r="AG198">
        <v>405</v>
      </c>
      <c r="AH198">
        <v>275.60000000000002</v>
      </c>
      <c r="AI198">
        <v>161</v>
      </c>
      <c r="AJ198">
        <v>126.5</v>
      </c>
      <c r="AK198">
        <v>132.6</v>
      </c>
      <c r="AL198">
        <v>120.4</v>
      </c>
      <c r="AM198">
        <v>141.19999999999999</v>
      </c>
      <c r="AN198">
        <v>129.5</v>
      </c>
    </row>
    <row r="199" spans="1:40" x14ac:dyDescent="0.25">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c r="AE199">
        <v>1774.1000000000001</v>
      </c>
      <c r="AF199">
        <v>262.7</v>
      </c>
      <c r="AG199">
        <v>429.7</v>
      </c>
      <c r="AH199">
        <v>280.39999999999998</v>
      </c>
      <c r="AI199">
        <v>158.30000000000001</v>
      </c>
      <c r="AJ199">
        <v>138.1</v>
      </c>
      <c r="AK199">
        <v>136.19999999999999</v>
      </c>
      <c r="AL199">
        <v>123.7</v>
      </c>
      <c r="AM199">
        <v>142.80000000000001</v>
      </c>
      <c r="AN199">
        <v>132.6</v>
      </c>
    </row>
    <row r="200" spans="1:40" x14ac:dyDescent="0.25">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v>142.9</v>
      </c>
      <c r="V200">
        <v>146.80000000000001</v>
      </c>
      <c r="W200">
        <v>143.1</v>
      </c>
      <c r="X200">
        <v>139</v>
      </c>
      <c r="Y200">
        <v>127.5</v>
      </c>
      <c r="Z200">
        <v>138.4</v>
      </c>
      <c r="AA200">
        <v>145.80000000000001</v>
      </c>
      <c r="AB200">
        <v>131.4</v>
      </c>
      <c r="AC200">
        <v>136</v>
      </c>
      <c r="AD200">
        <v>141.80000000000001</v>
      </c>
      <c r="AE200">
        <v>1810.5000000000002</v>
      </c>
      <c r="AF200">
        <v>269.8</v>
      </c>
      <c r="AG200">
        <v>447.20000000000005</v>
      </c>
      <c r="AH200">
        <v>286</v>
      </c>
      <c r="AI200">
        <v>156.1</v>
      </c>
      <c r="AJ200">
        <v>146.80000000000001</v>
      </c>
      <c r="AK200">
        <v>139</v>
      </c>
      <c r="AL200">
        <v>127.5</v>
      </c>
      <c r="AM200">
        <v>145.80000000000001</v>
      </c>
      <c r="AN200">
        <v>136</v>
      </c>
    </row>
    <row r="201" spans="1:40" x14ac:dyDescent="0.25">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c r="AE201">
        <v>1771.1</v>
      </c>
      <c r="AF201">
        <v>257.2</v>
      </c>
      <c r="AG201">
        <v>406.4</v>
      </c>
      <c r="AH201">
        <v>277.2</v>
      </c>
      <c r="AI201">
        <v>161.4</v>
      </c>
      <c r="AJ201">
        <v>128.1</v>
      </c>
      <c r="AK201">
        <v>133.6</v>
      </c>
      <c r="AL201">
        <v>120.1</v>
      </c>
      <c r="AM201">
        <v>144</v>
      </c>
      <c r="AN201">
        <v>130.19999999999999</v>
      </c>
    </row>
    <row r="202" spans="1:40" x14ac:dyDescent="0.25">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c r="AE202">
        <v>1795.3</v>
      </c>
      <c r="AF202">
        <v>263.2</v>
      </c>
      <c r="AG202">
        <v>430.80000000000007</v>
      </c>
      <c r="AH202">
        <v>282.2</v>
      </c>
      <c r="AI202">
        <v>157.5</v>
      </c>
      <c r="AJ202">
        <v>139.69999999999999</v>
      </c>
      <c r="AK202">
        <v>137</v>
      </c>
      <c r="AL202">
        <v>123.6</v>
      </c>
      <c r="AM202">
        <v>144.69999999999999</v>
      </c>
      <c r="AN202">
        <v>133.19999999999999</v>
      </c>
    </row>
    <row r="203" spans="1:40" x14ac:dyDescent="0.25">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v>144.19999999999999</v>
      </c>
      <c r="V203">
        <v>147.69999999999999</v>
      </c>
      <c r="W203">
        <v>143.80000000000001</v>
      </c>
      <c r="X203">
        <v>139.4</v>
      </c>
      <c r="Y203">
        <v>128.30000000000001</v>
      </c>
      <c r="Z203">
        <v>138.6</v>
      </c>
      <c r="AA203">
        <v>146.9</v>
      </c>
      <c r="AB203">
        <v>131.30000000000001</v>
      </c>
      <c r="AC203">
        <v>136.6</v>
      </c>
      <c r="AD203">
        <v>142.5</v>
      </c>
      <c r="AE203">
        <v>1818.8</v>
      </c>
      <c r="AF203">
        <v>269.89999999999998</v>
      </c>
      <c r="AG203">
        <v>449.2</v>
      </c>
      <c r="AH203">
        <v>288</v>
      </c>
      <c r="AI203">
        <v>156.4</v>
      </c>
      <c r="AJ203">
        <v>147.69999999999999</v>
      </c>
      <c r="AK203">
        <v>139.4</v>
      </c>
      <c r="AL203">
        <v>128.30000000000001</v>
      </c>
      <c r="AM203">
        <v>146.9</v>
      </c>
      <c r="AN203">
        <v>136.6</v>
      </c>
    </row>
    <row r="204" spans="1:40" x14ac:dyDescent="0.25">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c r="AE204">
        <v>1767.6</v>
      </c>
      <c r="AF204">
        <v>258.10000000000002</v>
      </c>
      <c r="AG204">
        <v>407.3</v>
      </c>
      <c r="AH204">
        <v>279</v>
      </c>
      <c r="AI204">
        <v>162.1</v>
      </c>
      <c r="AJ204">
        <v>129.80000000000001</v>
      </c>
      <c r="AK204">
        <v>134.9</v>
      </c>
      <c r="AL204">
        <v>120.7</v>
      </c>
      <c r="AM204">
        <v>145.30000000000001</v>
      </c>
      <c r="AN204">
        <v>131</v>
      </c>
    </row>
    <row r="205" spans="1:40" x14ac:dyDescent="0.25">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c r="AE205">
        <v>1798.7000000000003</v>
      </c>
      <c r="AF205">
        <v>263.7</v>
      </c>
      <c r="AG205">
        <v>432.20000000000005</v>
      </c>
      <c r="AH205">
        <v>284</v>
      </c>
      <c r="AI205">
        <v>157.9</v>
      </c>
      <c r="AJ205">
        <v>140.9</v>
      </c>
      <c r="AK205">
        <v>137.69999999999999</v>
      </c>
      <c r="AL205">
        <v>124.3</v>
      </c>
      <c r="AM205">
        <v>146</v>
      </c>
      <c r="AN205">
        <v>133.9</v>
      </c>
    </row>
    <row r="206" spans="1:40" x14ac:dyDescent="0.25">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v>144.9</v>
      </c>
      <c r="V206">
        <v>149</v>
      </c>
      <c r="W206">
        <v>144</v>
      </c>
      <c r="X206">
        <v>140</v>
      </c>
      <c r="Y206">
        <v>129.9</v>
      </c>
      <c r="Z206">
        <v>140</v>
      </c>
      <c r="AA206">
        <v>147.6</v>
      </c>
      <c r="AB206">
        <v>132</v>
      </c>
      <c r="AC206">
        <v>137.4</v>
      </c>
      <c r="AD206">
        <v>142.1</v>
      </c>
      <c r="AE206">
        <v>1799.8000000000002</v>
      </c>
      <c r="AF206">
        <v>272</v>
      </c>
      <c r="AG206">
        <v>449.5</v>
      </c>
      <c r="AH206">
        <v>288.89999999999998</v>
      </c>
      <c r="AI206">
        <v>157.69999999999999</v>
      </c>
      <c r="AJ206">
        <v>149</v>
      </c>
      <c r="AK206">
        <v>140</v>
      </c>
      <c r="AL206">
        <v>129.9</v>
      </c>
      <c r="AM206">
        <v>147.6</v>
      </c>
      <c r="AN206">
        <v>137.4</v>
      </c>
    </row>
    <row r="207" spans="1:40" x14ac:dyDescent="0.25">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c r="AE207">
        <v>1748.4</v>
      </c>
      <c r="AF207">
        <v>259.5</v>
      </c>
      <c r="AG207">
        <v>409.20000000000005</v>
      </c>
      <c r="AH207">
        <v>280.20000000000005</v>
      </c>
      <c r="AI207">
        <v>163.30000000000001</v>
      </c>
      <c r="AJ207">
        <v>131.19999999999999</v>
      </c>
      <c r="AK207">
        <v>135.69999999999999</v>
      </c>
      <c r="AL207">
        <v>122.5</v>
      </c>
      <c r="AM207">
        <v>145.19999999999999</v>
      </c>
      <c r="AN207">
        <v>131.9</v>
      </c>
    </row>
    <row r="208" spans="1:40" x14ac:dyDescent="0.25">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c r="AE208">
        <v>1779.5</v>
      </c>
      <c r="AF208">
        <v>265.39999999999998</v>
      </c>
      <c r="AG208">
        <v>433.29999999999995</v>
      </c>
      <c r="AH208">
        <v>285</v>
      </c>
      <c r="AI208">
        <v>159.19999999999999</v>
      </c>
      <c r="AJ208">
        <v>142.30000000000001</v>
      </c>
      <c r="AK208">
        <v>138.4</v>
      </c>
      <c r="AL208">
        <v>126</v>
      </c>
      <c r="AM208">
        <v>146.19999999999999</v>
      </c>
      <c r="AN208">
        <v>134.69999999999999</v>
      </c>
    </row>
    <row r="209" spans="1:40" x14ac:dyDescent="0.25">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v>145.80000000000001</v>
      </c>
      <c r="V209">
        <v>149.69999999999999</v>
      </c>
      <c r="W209">
        <v>147.5</v>
      </c>
      <c r="X209">
        <v>144.80000000000001</v>
      </c>
      <c r="Y209">
        <v>130.80000000000001</v>
      </c>
      <c r="Z209">
        <v>140.1</v>
      </c>
      <c r="AA209">
        <v>148</v>
      </c>
      <c r="AB209">
        <v>134.4</v>
      </c>
      <c r="AC209">
        <v>139.80000000000001</v>
      </c>
      <c r="AD209">
        <v>142.19999999999999</v>
      </c>
      <c r="AE209">
        <v>1782.2</v>
      </c>
      <c r="AF209">
        <v>274.5</v>
      </c>
      <c r="AG209">
        <v>445</v>
      </c>
      <c r="AH209">
        <v>293.3</v>
      </c>
      <c r="AI209">
        <v>159.6</v>
      </c>
      <c r="AJ209">
        <v>149.69999999999999</v>
      </c>
      <c r="AK209">
        <v>144.80000000000001</v>
      </c>
      <c r="AL209">
        <v>130.80000000000001</v>
      </c>
      <c r="AM209">
        <v>148</v>
      </c>
      <c r="AN209">
        <v>139.80000000000001</v>
      </c>
    </row>
    <row r="210" spans="1:40" x14ac:dyDescent="0.25">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c r="AE210">
        <v>1754.1</v>
      </c>
      <c r="AF210">
        <v>261.10000000000002</v>
      </c>
      <c r="AG210">
        <v>411</v>
      </c>
      <c r="AH210">
        <v>281.39999999999998</v>
      </c>
      <c r="AI210">
        <v>164</v>
      </c>
      <c r="AJ210">
        <v>133.4</v>
      </c>
      <c r="AK210">
        <v>136.19999999999999</v>
      </c>
      <c r="AL210">
        <v>123.3</v>
      </c>
      <c r="AM210">
        <v>145.5</v>
      </c>
      <c r="AN210">
        <v>132.5</v>
      </c>
    </row>
    <row r="211" spans="1:40" x14ac:dyDescent="0.25">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c r="AE211">
        <v>1776.2</v>
      </c>
      <c r="AF211">
        <v>268.5</v>
      </c>
      <c r="AG211">
        <v>434</v>
      </c>
      <c r="AH211">
        <v>289.10000000000002</v>
      </c>
      <c r="AI211">
        <v>162.6</v>
      </c>
      <c r="AJ211">
        <v>145.30000000000001</v>
      </c>
      <c r="AK211">
        <v>142.1</v>
      </c>
      <c r="AL211">
        <v>125.5</v>
      </c>
      <c r="AM211">
        <v>147.80000000000001</v>
      </c>
      <c r="AN211">
        <v>136.30000000000001</v>
      </c>
    </row>
    <row r="212" spans="1:40" x14ac:dyDescent="0.25">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v>146.9</v>
      </c>
      <c r="V212">
        <v>150.30000000000001</v>
      </c>
      <c r="W212">
        <v>148</v>
      </c>
      <c r="X212">
        <v>145.4</v>
      </c>
      <c r="Y212">
        <v>130.30000000000001</v>
      </c>
      <c r="Z212">
        <v>143.1</v>
      </c>
      <c r="AA212">
        <v>150.19999999999999</v>
      </c>
      <c r="AB212">
        <v>133.1</v>
      </c>
      <c r="AC212">
        <v>140.1</v>
      </c>
      <c r="AD212">
        <v>142.4</v>
      </c>
      <c r="AE212">
        <v>1787.4999999999995</v>
      </c>
      <c r="AF212">
        <v>276.2</v>
      </c>
      <c r="AG212">
        <v>448</v>
      </c>
      <c r="AH212">
        <v>294.89999999999998</v>
      </c>
      <c r="AI212">
        <v>161.9</v>
      </c>
      <c r="AJ212">
        <v>150.30000000000001</v>
      </c>
      <c r="AK212">
        <v>145.4</v>
      </c>
      <c r="AL212">
        <v>130.30000000000001</v>
      </c>
      <c r="AM212">
        <v>150.19999999999999</v>
      </c>
      <c r="AN212">
        <v>140.1</v>
      </c>
    </row>
    <row r="213" spans="1:40" x14ac:dyDescent="0.25">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c r="AE213">
        <v>1757.4999999999998</v>
      </c>
      <c r="AF213">
        <v>261.8</v>
      </c>
      <c r="AG213">
        <v>413.1</v>
      </c>
      <c r="AH213">
        <v>282.70000000000005</v>
      </c>
      <c r="AI213">
        <v>164.4</v>
      </c>
      <c r="AJ213">
        <v>136.69999999999999</v>
      </c>
      <c r="AK213">
        <v>136.80000000000001</v>
      </c>
      <c r="AL213">
        <v>121.2</v>
      </c>
      <c r="AM213">
        <v>146.1</v>
      </c>
      <c r="AN213">
        <v>132.19999999999999</v>
      </c>
    </row>
    <row r="214" spans="1:40" x14ac:dyDescent="0.25">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c r="AE214">
        <v>1775.7000000000003</v>
      </c>
      <c r="AF214">
        <v>268.5</v>
      </c>
      <c r="AG214">
        <v>433.8</v>
      </c>
      <c r="AH214">
        <v>289.10000000000002</v>
      </c>
      <c r="AI214">
        <v>162.6</v>
      </c>
      <c r="AJ214">
        <v>145.1</v>
      </c>
      <c r="AK214">
        <v>142.1</v>
      </c>
      <c r="AL214">
        <v>125.5</v>
      </c>
      <c r="AM214">
        <v>147.80000000000001</v>
      </c>
      <c r="AN214">
        <v>136.30000000000001</v>
      </c>
    </row>
    <row r="215" spans="1:40" x14ac:dyDescent="0.25">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v>146.6</v>
      </c>
      <c r="V215">
        <v>149</v>
      </c>
      <c r="W215">
        <v>149.5</v>
      </c>
      <c r="X215">
        <v>149.6</v>
      </c>
      <c r="Y215">
        <v>128.9</v>
      </c>
      <c r="Z215">
        <v>143.30000000000001</v>
      </c>
      <c r="AA215">
        <v>155.1</v>
      </c>
      <c r="AB215">
        <v>133.19999999999999</v>
      </c>
      <c r="AC215">
        <v>141.6</v>
      </c>
      <c r="AD215">
        <v>141.9</v>
      </c>
      <c r="AE215">
        <v>1773.1000000000001</v>
      </c>
      <c r="AF215">
        <v>276.5</v>
      </c>
      <c r="AG215">
        <v>448.3</v>
      </c>
      <c r="AH215">
        <v>296.10000000000002</v>
      </c>
      <c r="AI215">
        <v>162.4</v>
      </c>
      <c r="AJ215">
        <v>149</v>
      </c>
      <c r="AK215">
        <v>149.6</v>
      </c>
      <c r="AL215">
        <v>128.9</v>
      </c>
      <c r="AM215">
        <v>155.1</v>
      </c>
      <c r="AN215">
        <v>141.6</v>
      </c>
    </row>
    <row r="216" spans="1:40" x14ac:dyDescent="0.25">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c r="AE216">
        <v>1746.6</v>
      </c>
      <c r="AF216">
        <v>262.5</v>
      </c>
      <c r="AG216">
        <v>413.8</v>
      </c>
      <c r="AH216">
        <v>282.7</v>
      </c>
      <c r="AI216">
        <v>164.6</v>
      </c>
      <c r="AJ216">
        <v>132.4</v>
      </c>
      <c r="AK216">
        <v>137.30000000000001</v>
      </c>
      <c r="AL216">
        <v>118.8</v>
      </c>
      <c r="AM216">
        <v>146.5</v>
      </c>
      <c r="AN216">
        <v>131.69999999999999</v>
      </c>
    </row>
    <row r="217" spans="1:40" x14ac:dyDescent="0.25">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c r="AE217">
        <v>1762.7999999999997</v>
      </c>
      <c r="AF217">
        <v>269</v>
      </c>
      <c r="AG217">
        <v>434.3</v>
      </c>
      <c r="AH217">
        <v>289.7</v>
      </c>
      <c r="AI217">
        <v>163</v>
      </c>
      <c r="AJ217">
        <v>142.69999999999999</v>
      </c>
      <c r="AK217">
        <v>144.9</v>
      </c>
      <c r="AL217">
        <v>123.6</v>
      </c>
      <c r="AM217">
        <v>150.1</v>
      </c>
      <c r="AN217">
        <v>136.80000000000001</v>
      </c>
    </row>
    <row r="218" spans="1:40" x14ac:dyDescent="0.25">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v>146.5</v>
      </c>
      <c r="V218">
        <v>146.19999999999999</v>
      </c>
      <c r="W218">
        <v>150.1</v>
      </c>
      <c r="X218">
        <v>149.6</v>
      </c>
      <c r="Y218">
        <v>128.6</v>
      </c>
      <c r="Z218">
        <v>142.9</v>
      </c>
      <c r="AA218">
        <v>155.19999999999999</v>
      </c>
      <c r="AB218">
        <v>133.5</v>
      </c>
      <c r="AC218">
        <v>141.69999999999999</v>
      </c>
      <c r="AD218">
        <v>141</v>
      </c>
      <c r="AE218">
        <v>1759.6000000000001</v>
      </c>
      <c r="AF218">
        <v>276.39999999999998</v>
      </c>
      <c r="AG218">
        <v>445.6</v>
      </c>
      <c r="AH218">
        <v>296.60000000000002</v>
      </c>
      <c r="AI218">
        <v>162.69999999999999</v>
      </c>
      <c r="AJ218">
        <v>146.19999999999999</v>
      </c>
      <c r="AK218">
        <v>149.6</v>
      </c>
      <c r="AL218">
        <v>128.6</v>
      </c>
      <c r="AM218">
        <v>155.19999999999999</v>
      </c>
      <c r="AN218">
        <v>141.69999999999999</v>
      </c>
    </row>
    <row r="219" spans="1:40" x14ac:dyDescent="0.25">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c r="AE219">
        <v>1744.3000000000002</v>
      </c>
      <c r="AF219">
        <v>263.60000000000002</v>
      </c>
      <c r="AG219">
        <v>414.5</v>
      </c>
      <c r="AH219">
        <v>284</v>
      </c>
      <c r="AI219">
        <v>164.7</v>
      </c>
      <c r="AJ219">
        <v>128.6</v>
      </c>
      <c r="AK219">
        <v>137.80000000000001</v>
      </c>
      <c r="AL219">
        <v>118.6</v>
      </c>
      <c r="AM219">
        <v>146.6</v>
      </c>
      <c r="AN219">
        <v>131.80000000000001</v>
      </c>
    </row>
    <row r="220" spans="1:40" x14ac:dyDescent="0.25">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c r="AE220">
        <v>1753.3999999999999</v>
      </c>
      <c r="AF220">
        <v>269.5</v>
      </c>
      <c r="AG220">
        <v>433</v>
      </c>
      <c r="AH220">
        <v>291.29999999999995</v>
      </c>
      <c r="AI220">
        <v>163.19999999999999</v>
      </c>
      <c r="AJ220">
        <v>139.5</v>
      </c>
      <c r="AK220">
        <v>145.1</v>
      </c>
      <c r="AL220">
        <v>123.3</v>
      </c>
      <c r="AM220">
        <v>150.19999999999999</v>
      </c>
      <c r="AN220">
        <v>136.9</v>
      </c>
    </row>
    <row r="221" spans="1:40" x14ac:dyDescent="0.25">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v>147.9</v>
      </c>
      <c r="V221">
        <v>145.30000000000001</v>
      </c>
      <c r="W221">
        <v>150.1</v>
      </c>
      <c r="X221">
        <v>149.9</v>
      </c>
      <c r="Y221">
        <v>129.19999999999999</v>
      </c>
      <c r="Z221">
        <v>143.4</v>
      </c>
      <c r="AA221">
        <v>155.5</v>
      </c>
      <c r="AB221">
        <v>134.9</v>
      </c>
      <c r="AC221">
        <v>142.19999999999999</v>
      </c>
      <c r="AD221">
        <v>141</v>
      </c>
      <c r="AE221">
        <v>1759.8000000000002</v>
      </c>
      <c r="AF221">
        <v>278.3</v>
      </c>
      <c r="AG221">
        <v>446.5</v>
      </c>
      <c r="AH221">
        <v>298</v>
      </c>
      <c r="AI221">
        <v>162.80000000000001</v>
      </c>
      <c r="AJ221">
        <v>145.30000000000001</v>
      </c>
      <c r="AK221">
        <v>149.9</v>
      </c>
      <c r="AL221">
        <v>129.19999999999999</v>
      </c>
      <c r="AM221">
        <v>155.5</v>
      </c>
      <c r="AN221">
        <v>142.19999999999999</v>
      </c>
    </row>
    <row r="222" spans="1:40" x14ac:dyDescent="0.25">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c r="AE222">
        <v>1754.4</v>
      </c>
      <c r="AF222">
        <v>265.2</v>
      </c>
      <c r="AG222">
        <v>415.5</v>
      </c>
      <c r="AH222">
        <v>285.10000000000002</v>
      </c>
      <c r="AI222">
        <v>164.9</v>
      </c>
      <c r="AJ222">
        <v>127.1</v>
      </c>
      <c r="AK222">
        <v>138.5</v>
      </c>
      <c r="AL222">
        <v>119.2</v>
      </c>
      <c r="AM222">
        <v>146.6</v>
      </c>
      <c r="AN222">
        <v>132.4</v>
      </c>
    </row>
    <row r="223" spans="1:40" x14ac:dyDescent="0.25">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c r="AE223">
        <v>1757.1</v>
      </c>
      <c r="AF223">
        <v>271.2</v>
      </c>
      <c r="AG223">
        <v>433.9</v>
      </c>
      <c r="AH223">
        <v>292.2</v>
      </c>
      <c r="AI223">
        <v>163.4</v>
      </c>
      <c r="AJ223">
        <v>138.4</v>
      </c>
      <c r="AK223">
        <v>145.6</v>
      </c>
      <c r="AL223">
        <v>123.9</v>
      </c>
      <c r="AM223">
        <v>150.30000000000001</v>
      </c>
      <c r="AN223">
        <v>137.4</v>
      </c>
    </row>
    <row r="224" spans="1:40" x14ac:dyDescent="0.25">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v>148.80000000000001</v>
      </c>
      <c r="V224">
        <v>146.4</v>
      </c>
      <c r="W224">
        <v>150</v>
      </c>
      <c r="X224">
        <v>150.4</v>
      </c>
      <c r="Y224">
        <v>129.9</v>
      </c>
      <c r="Z224">
        <v>143.80000000000001</v>
      </c>
      <c r="AA224">
        <v>155.5</v>
      </c>
      <c r="AB224">
        <v>134</v>
      </c>
      <c r="AC224">
        <v>142.4</v>
      </c>
      <c r="AD224">
        <v>141.19999999999999</v>
      </c>
      <c r="AE224">
        <v>1761.2000000000003</v>
      </c>
      <c r="AF224">
        <v>277.8</v>
      </c>
      <c r="AG224">
        <v>447</v>
      </c>
      <c r="AH224">
        <v>298.8</v>
      </c>
      <c r="AI224">
        <v>162.9</v>
      </c>
      <c r="AJ224">
        <v>146.4</v>
      </c>
      <c r="AK224">
        <v>150.4</v>
      </c>
      <c r="AL224">
        <v>129.9</v>
      </c>
      <c r="AM224">
        <v>155.5</v>
      </c>
      <c r="AN224">
        <v>142.4</v>
      </c>
    </row>
    <row r="225" spans="1:40" x14ac:dyDescent="0.25">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c r="AE225">
        <v>1768.4</v>
      </c>
      <c r="AF225">
        <v>265.5</v>
      </c>
      <c r="AG225">
        <v>416.29999999999995</v>
      </c>
      <c r="AH225">
        <v>285.8</v>
      </c>
      <c r="AI225">
        <v>165.3</v>
      </c>
      <c r="AJ225">
        <v>128.80000000000001</v>
      </c>
      <c r="AK225">
        <v>139.19999999999999</v>
      </c>
      <c r="AL225">
        <v>119.9</v>
      </c>
      <c r="AM225">
        <v>146.69999999999999</v>
      </c>
      <c r="AN225">
        <v>132.80000000000001</v>
      </c>
    </row>
    <row r="226" spans="1:40" x14ac:dyDescent="0.25">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c r="AE226">
        <v>1762.9</v>
      </c>
      <c r="AF226">
        <v>271.10000000000002</v>
      </c>
      <c r="AG226">
        <v>434.5</v>
      </c>
      <c r="AH226">
        <v>292.8</v>
      </c>
      <c r="AI226">
        <v>163.5</v>
      </c>
      <c r="AJ226">
        <v>139.69999999999999</v>
      </c>
      <c r="AK226">
        <v>146.19999999999999</v>
      </c>
      <c r="AL226">
        <v>124.6</v>
      </c>
      <c r="AM226">
        <v>150.30000000000001</v>
      </c>
      <c r="AN226">
        <v>137.69999999999999</v>
      </c>
    </row>
    <row r="227" spans="1:40" x14ac:dyDescent="0.25">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v>149.5</v>
      </c>
      <c r="V227">
        <v>146.9</v>
      </c>
      <c r="W227">
        <v>149.5</v>
      </c>
      <c r="X227">
        <v>151.30000000000001</v>
      </c>
      <c r="Y227">
        <v>130.19999999999999</v>
      </c>
      <c r="Z227">
        <v>145.9</v>
      </c>
      <c r="AA227">
        <v>156.69999999999999</v>
      </c>
      <c r="AB227">
        <v>133.9</v>
      </c>
      <c r="AC227">
        <v>142.9</v>
      </c>
      <c r="AD227">
        <v>142.4</v>
      </c>
      <c r="AE227">
        <v>1782.1000000000001</v>
      </c>
      <c r="AF227">
        <v>279.8</v>
      </c>
      <c r="AG227">
        <v>448.59999999999997</v>
      </c>
      <c r="AH227">
        <v>299</v>
      </c>
      <c r="AI227">
        <v>163.30000000000001</v>
      </c>
      <c r="AJ227">
        <v>146.9</v>
      </c>
      <c r="AK227">
        <v>151.30000000000001</v>
      </c>
      <c r="AL227">
        <v>130.19999999999999</v>
      </c>
      <c r="AM227">
        <v>156.69999999999999</v>
      </c>
      <c r="AN227">
        <v>142.9</v>
      </c>
    </row>
    <row r="228" spans="1:40" x14ac:dyDescent="0.25">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c r="AE228">
        <v>1811.5000000000002</v>
      </c>
      <c r="AF228">
        <v>266.60000000000002</v>
      </c>
      <c r="AG228">
        <v>417.9</v>
      </c>
      <c r="AH228">
        <v>287.29999999999995</v>
      </c>
      <c r="AI228">
        <v>166.2</v>
      </c>
      <c r="AJ228">
        <v>129.4</v>
      </c>
      <c r="AK228">
        <v>139.80000000000001</v>
      </c>
      <c r="AL228">
        <v>120.1</v>
      </c>
      <c r="AM228">
        <v>148</v>
      </c>
      <c r="AN228">
        <v>133.30000000000001</v>
      </c>
    </row>
    <row r="229" spans="1:40" x14ac:dyDescent="0.25">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c r="AE229">
        <v>1791.9000000000003</v>
      </c>
      <c r="AF229">
        <v>272.60000000000002</v>
      </c>
      <c r="AG229">
        <v>436.1</v>
      </c>
      <c r="AH229">
        <v>293.79999999999995</v>
      </c>
      <c r="AI229">
        <v>164.1</v>
      </c>
      <c r="AJ229">
        <v>140.30000000000001</v>
      </c>
      <c r="AK229">
        <v>146.9</v>
      </c>
      <c r="AL229">
        <v>124.9</v>
      </c>
      <c r="AM229">
        <v>151.6</v>
      </c>
      <c r="AN229">
        <v>138.19999999999999</v>
      </c>
    </row>
    <row r="230" spans="1:40" x14ac:dyDescent="0.25">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v>150</v>
      </c>
      <c r="V230">
        <v>147.80000000000001</v>
      </c>
      <c r="W230">
        <v>149.6</v>
      </c>
      <c r="X230">
        <v>151.69999999999999</v>
      </c>
      <c r="Y230">
        <v>130.19999999999999</v>
      </c>
      <c r="Z230">
        <v>146.4</v>
      </c>
      <c r="AA230">
        <v>157.69999999999999</v>
      </c>
      <c r="AB230">
        <v>134.80000000000001</v>
      </c>
      <c r="AC230">
        <v>143.30000000000001</v>
      </c>
      <c r="AD230">
        <v>143.6</v>
      </c>
      <c r="AE230">
        <v>1804.1999999999998</v>
      </c>
      <c r="AF230">
        <v>281.20000000000005</v>
      </c>
      <c r="AG230">
        <v>448.59999999999997</v>
      </c>
      <c r="AH230">
        <v>299.60000000000002</v>
      </c>
      <c r="AI230">
        <v>164.2</v>
      </c>
      <c r="AJ230">
        <v>147.80000000000001</v>
      </c>
      <c r="AK230">
        <v>151.69999999999999</v>
      </c>
      <c r="AL230">
        <v>130.19999999999999</v>
      </c>
      <c r="AM230">
        <v>157.69999999999999</v>
      </c>
      <c r="AN230">
        <v>143.30000000000001</v>
      </c>
    </row>
    <row r="231" spans="1:40" x14ac:dyDescent="0.25">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c r="AE231">
        <v>1833.2999999999997</v>
      </c>
      <c r="AF231">
        <v>268</v>
      </c>
      <c r="AG231">
        <v>418.4</v>
      </c>
      <c r="AH231">
        <v>286.8</v>
      </c>
      <c r="AI231">
        <v>166.7</v>
      </c>
      <c r="AJ231">
        <v>130.5</v>
      </c>
      <c r="AK231">
        <v>140.30000000000001</v>
      </c>
      <c r="AL231">
        <v>119.6</v>
      </c>
      <c r="AM231">
        <v>148.9</v>
      </c>
      <c r="AN231">
        <v>133.6</v>
      </c>
    </row>
    <row r="232" spans="1:40" x14ac:dyDescent="0.25">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c r="AE232">
        <v>1814.1000000000001</v>
      </c>
      <c r="AF232">
        <v>273.89999999999998</v>
      </c>
      <c r="AG232">
        <v>436.4</v>
      </c>
      <c r="AH232">
        <v>293.20000000000005</v>
      </c>
      <c r="AI232">
        <v>164.9</v>
      </c>
      <c r="AJ232">
        <v>141.19999999999999</v>
      </c>
      <c r="AK232">
        <v>147.4</v>
      </c>
      <c r="AL232">
        <v>124.6</v>
      </c>
      <c r="AM232">
        <v>152.5</v>
      </c>
      <c r="AN232">
        <v>138.6</v>
      </c>
    </row>
    <row r="233" spans="1:40" x14ac:dyDescent="0.25">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v>149.9</v>
      </c>
      <c r="V233">
        <v>146.80000000000001</v>
      </c>
      <c r="W233">
        <v>150</v>
      </c>
      <c r="X233">
        <v>152.19999999999999</v>
      </c>
      <c r="Y233">
        <v>131.19999999999999</v>
      </c>
      <c r="Z233">
        <v>147.5</v>
      </c>
      <c r="AA233">
        <v>159.1</v>
      </c>
      <c r="AB233">
        <v>136.1</v>
      </c>
      <c r="AC233">
        <v>144.19999999999999</v>
      </c>
      <c r="AD233">
        <v>144.9</v>
      </c>
      <c r="AE233">
        <v>1826.8999999999999</v>
      </c>
      <c r="AF233">
        <v>283.60000000000002</v>
      </c>
      <c r="AG233">
        <v>449.1</v>
      </c>
      <c r="AH233">
        <v>299.89999999999998</v>
      </c>
      <c r="AI233">
        <v>164.5</v>
      </c>
      <c r="AJ233">
        <v>146.80000000000001</v>
      </c>
      <c r="AK233">
        <v>152.19999999999999</v>
      </c>
      <c r="AL233">
        <v>131.19999999999999</v>
      </c>
      <c r="AM233">
        <v>159.1</v>
      </c>
      <c r="AN233">
        <v>144.19999999999999</v>
      </c>
    </row>
    <row r="234" spans="1:40" x14ac:dyDescent="0.25">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c r="AE234">
        <v>1857.3999999999999</v>
      </c>
      <c r="AF234">
        <v>270.10000000000002</v>
      </c>
      <c r="AG234">
        <v>419.3</v>
      </c>
      <c r="AH234">
        <v>288.29999999999995</v>
      </c>
      <c r="AI234">
        <v>167.2</v>
      </c>
      <c r="AJ234">
        <v>127</v>
      </c>
      <c r="AK234">
        <v>140.80000000000001</v>
      </c>
      <c r="AL234">
        <v>120.6</v>
      </c>
      <c r="AM234">
        <v>150.4</v>
      </c>
      <c r="AN234">
        <v>134.5</v>
      </c>
    </row>
    <row r="235" spans="1:40" x14ac:dyDescent="0.25">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c r="AE235">
        <v>1837.5</v>
      </c>
      <c r="AF235">
        <v>276.2</v>
      </c>
      <c r="AG235">
        <v>437</v>
      </c>
      <c r="AH235">
        <v>294.79999999999995</v>
      </c>
      <c r="AI235">
        <v>165.2</v>
      </c>
      <c r="AJ235">
        <v>139.30000000000001</v>
      </c>
      <c r="AK235">
        <v>147.9</v>
      </c>
      <c r="AL235">
        <v>125.6</v>
      </c>
      <c r="AM235">
        <v>154</v>
      </c>
      <c r="AN235">
        <v>139.5</v>
      </c>
    </row>
    <row r="236" spans="1:40" x14ac:dyDescent="0.25">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v>150.9</v>
      </c>
      <c r="V236">
        <v>146.4</v>
      </c>
      <c r="W236">
        <v>150.19999999999999</v>
      </c>
      <c r="X236">
        <v>152.69999999999999</v>
      </c>
      <c r="Y236">
        <v>131.4</v>
      </c>
      <c r="Z236">
        <v>148</v>
      </c>
      <c r="AA236">
        <v>159.69999999999999</v>
      </c>
      <c r="AB236">
        <v>138.80000000000001</v>
      </c>
      <c r="AC236">
        <v>144.9</v>
      </c>
      <c r="AD236">
        <v>145.69999999999999</v>
      </c>
      <c r="AE236">
        <v>1834.5000000000002</v>
      </c>
      <c r="AF236">
        <v>286.8</v>
      </c>
      <c r="AG236">
        <v>449.5</v>
      </c>
      <c r="AH236">
        <v>301.10000000000002</v>
      </c>
      <c r="AI236">
        <v>165.1</v>
      </c>
      <c r="AJ236">
        <v>146.4</v>
      </c>
      <c r="AK236">
        <v>152.69999999999999</v>
      </c>
      <c r="AL236">
        <v>131.4</v>
      </c>
      <c r="AM236">
        <v>159.69999999999999</v>
      </c>
      <c r="AN236">
        <v>144.9</v>
      </c>
    </row>
    <row r="237" spans="1:40" x14ac:dyDescent="0.25">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c r="AE237">
        <v>1869.1</v>
      </c>
      <c r="AF237">
        <v>273.20000000000005</v>
      </c>
      <c r="AG237">
        <v>420.2</v>
      </c>
      <c r="AH237">
        <v>289.7</v>
      </c>
      <c r="AI237">
        <v>167.9</v>
      </c>
      <c r="AJ237">
        <v>125.5</v>
      </c>
      <c r="AK237">
        <v>141.5</v>
      </c>
      <c r="AL237">
        <v>120.8</v>
      </c>
      <c r="AM237">
        <v>151.5</v>
      </c>
      <c r="AN237">
        <v>135.30000000000001</v>
      </c>
    </row>
    <row r="238" spans="1:40" x14ac:dyDescent="0.25">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c r="AE238">
        <v>1846.5</v>
      </c>
      <c r="AF238">
        <v>279.3</v>
      </c>
      <c r="AG238">
        <v>437.6</v>
      </c>
      <c r="AH238">
        <v>296.10000000000002</v>
      </c>
      <c r="AI238">
        <v>165.8</v>
      </c>
      <c r="AJ238">
        <v>138.5</v>
      </c>
      <c r="AK238">
        <v>148.5</v>
      </c>
      <c r="AL238">
        <v>125.8</v>
      </c>
      <c r="AM238">
        <v>154.9</v>
      </c>
      <c r="AN238">
        <v>140.19999999999999</v>
      </c>
    </row>
    <row r="239" spans="1:40" x14ac:dyDescent="0.25">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v>151.80000000000001</v>
      </c>
      <c r="V239">
        <v>146.9</v>
      </c>
      <c r="W239">
        <v>150.30000000000001</v>
      </c>
      <c r="X239">
        <v>153.4</v>
      </c>
      <c r="Y239">
        <v>131.6</v>
      </c>
      <c r="Z239">
        <v>148.30000000000001</v>
      </c>
      <c r="AA239">
        <v>160.19999999999999</v>
      </c>
      <c r="AB239">
        <v>140.19999999999999</v>
      </c>
      <c r="AC239">
        <v>145.4</v>
      </c>
      <c r="AD239">
        <v>146.69999999999999</v>
      </c>
      <c r="AE239">
        <v>1848.7</v>
      </c>
      <c r="AF239">
        <v>288.5</v>
      </c>
      <c r="AG239">
        <v>449.29999999999995</v>
      </c>
      <c r="AH239">
        <v>302.10000000000002</v>
      </c>
      <c r="AI239">
        <v>165.7</v>
      </c>
      <c r="AJ239">
        <v>146.9</v>
      </c>
      <c r="AK239">
        <v>153.4</v>
      </c>
      <c r="AL239">
        <v>131.6</v>
      </c>
      <c r="AM239">
        <v>160.19999999999999</v>
      </c>
      <c r="AN239">
        <v>145.4</v>
      </c>
    </row>
    <row r="240" spans="1:40" x14ac:dyDescent="0.25">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c r="AE240">
        <v>1874.9</v>
      </c>
      <c r="AF240">
        <v>274.89999999999998</v>
      </c>
      <c r="AG240">
        <v>420.8</v>
      </c>
      <c r="AH240">
        <v>290.5</v>
      </c>
      <c r="AI240">
        <v>168.6</v>
      </c>
      <c r="AJ240">
        <v>126.6</v>
      </c>
      <c r="AK240">
        <v>141.9</v>
      </c>
      <c r="AL240">
        <v>121.2</v>
      </c>
      <c r="AM240">
        <v>151.6</v>
      </c>
      <c r="AN240">
        <v>135.69999999999999</v>
      </c>
    </row>
    <row r="241" spans="1:40" x14ac:dyDescent="0.25">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c r="AE241">
        <v>1857.6999999999998</v>
      </c>
      <c r="AF241">
        <v>281</v>
      </c>
      <c r="AG241">
        <v>437.69999999999993</v>
      </c>
      <c r="AH241">
        <v>296.79999999999995</v>
      </c>
      <c r="AI241">
        <v>166.5</v>
      </c>
      <c r="AJ241">
        <v>139.19999999999999</v>
      </c>
      <c r="AK241">
        <v>149</v>
      </c>
      <c r="AL241">
        <v>126.1</v>
      </c>
      <c r="AM241">
        <v>155.19999999999999</v>
      </c>
      <c r="AN241">
        <v>140.69999999999999</v>
      </c>
    </row>
    <row r="242" spans="1:40" x14ac:dyDescent="0.25">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v>152.6</v>
      </c>
      <c r="V242">
        <v>147.69999999999999</v>
      </c>
      <c r="W242">
        <v>150.6</v>
      </c>
      <c r="X242">
        <v>153.69999999999999</v>
      </c>
      <c r="Y242">
        <v>131.69999999999999</v>
      </c>
      <c r="Z242">
        <v>148.69999999999999</v>
      </c>
      <c r="AA242">
        <v>160.69999999999999</v>
      </c>
      <c r="AB242">
        <v>140.30000000000001</v>
      </c>
      <c r="AC242">
        <v>145.69999999999999</v>
      </c>
      <c r="AD242">
        <v>148.30000000000001</v>
      </c>
      <c r="AE242">
        <v>1876.8999999999996</v>
      </c>
      <c r="AF242">
        <v>289</v>
      </c>
      <c r="AG242">
        <v>449.4</v>
      </c>
      <c r="AH242">
        <v>303.2</v>
      </c>
      <c r="AI242">
        <v>166.3</v>
      </c>
      <c r="AJ242">
        <v>147.69999999999999</v>
      </c>
      <c r="AK242">
        <v>153.69999999999999</v>
      </c>
      <c r="AL242">
        <v>131.69999999999999</v>
      </c>
      <c r="AM242">
        <v>160.69999999999999</v>
      </c>
      <c r="AN242">
        <v>145.69999999999999</v>
      </c>
    </row>
    <row r="243" spans="1:40" x14ac:dyDescent="0.25">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c r="AE243">
        <v>1902.6000000000001</v>
      </c>
      <c r="AF243">
        <v>275.7</v>
      </c>
      <c r="AG243">
        <v>422.20000000000005</v>
      </c>
      <c r="AH243">
        <v>291.7</v>
      </c>
      <c r="AI243">
        <v>169.3</v>
      </c>
      <c r="AJ243">
        <v>128.9</v>
      </c>
      <c r="AK243">
        <v>142.4</v>
      </c>
      <c r="AL243">
        <v>121.5</v>
      </c>
      <c r="AM243">
        <v>151.69999999999999</v>
      </c>
      <c r="AN243">
        <v>136</v>
      </c>
    </row>
    <row r="244" spans="1:40" x14ac:dyDescent="0.25">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c r="AE244">
        <v>1885.5999999999997</v>
      </c>
      <c r="AF244">
        <v>281.7</v>
      </c>
      <c r="AG244">
        <v>438.40000000000003</v>
      </c>
      <c r="AH244">
        <v>298</v>
      </c>
      <c r="AI244">
        <v>167.1</v>
      </c>
      <c r="AJ244">
        <v>140.6</v>
      </c>
      <c r="AK244">
        <v>149.4</v>
      </c>
      <c r="AL244">
        <v>126.3</v>
      </c>
      <c r="AM244">
        <v>155.4</v>
      </c>
      <c r="AN244">
        <v>141</v>
      </c>
    </row>
    <row r="245" spans="1:40" x14ac:dyDescent="0.25">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v>152.1</v>
      </c>
      <c r="V245">
        <v>148.4</v>
      </c>
      <c r="W245">
        <v>150.9</v>
      </c>
      <c r="X245">
        <v>154.30000000000001</v>
      </c>
      <c r="Y245">
        <v>132.1</v>
      </c>
      <c r="Z245">
        <v>149.1</v>
      </c>
      <c r="AA245">
        <v>160.80000000000001</v>
      </c>
      <c r="AB245">
        <v>140.6</v>
      </c>
      <c r="AC245">
        <v>146.1</v>
      </c>
      <c r="AD245">
        <v>149.9</v>
      </c>
      <c r="AE245">
        <v>1904.6000000000001</v>
      </c>
      <c r="AF245">
        <v>289.7</v>
      </c>
      <c r="AG245">
        <v>450.8</v>
      </c>
      <c r="AH245">
        <v>303</v>
      </c>
      <c r="AI245">
        <v>167.2</v>
      </c>
      <c r="AJ245">
        <v>148.4</v>
      </c>
      <c r="AK245">
        <v>154.30000000000001</v>
      </c>
      <c r="AL245">
        <v>132.1</v>
      </c>
      <c r="AM245">
        <v>160.80000000000001</v>
      </c>
      <c r="AN245">
        <v>146.1</v>
      </c>
    </row>
    <row r="246" spans="1:40" x14ac:dyDescent="0.25">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c r="AE246">
        <v>1923.9999999999998</v>
      </c>
      <c r="AF246">
        <v>276.5</v>
      </c>
      <c r="AG246">
        <v>423.09999999999997</v>
      </c>
      <c r="AH246">
        <v>292.60000000000002</v>
      </c>
      <c r="AI246">
        <v>169.9</v>
      </c>
      <c r="AJ246">
        <v>132.19999999999999</v>
      </c>
      <c r="AK246">
        <v>142.80000000000001</v>
      </c>
      <c r="AL246">
        <v>121.7</v>
      </c>
      <c r="AM246">
        <v>151.80000000000001</v>
      </c>
      <c r="AN246">
        <v>136.30000000000001</v>
      </c>
    </row>
    <row r="247" spans="1:40" x14ac:dyDescent="0.25">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c r="AE247">
        <v>1910.9</v>
      </c>
      <c r="AF247">
        <v>282.39999999999998</v>
      </c>
      <c r="AG247">
        <v>439.5</v>
      </c>
      <c r="AH247">
        <v>298.8</v>
      </c>
      <c r="AI247">
        <v>167.9</v>
      </c>
      <c r="AJ247">
        <v>142.30000000000001</v>
      </c>
      <c r="AK247">
        <v>149.9</v>
      </c>
      <c r="AL247">
        <v>126.6</v>
      </c>
      <c r="AM247">
        <v>155.5</v>
      </c>
      <c r="AN247">
        <v>141.30000000000001</v>
      </c>
    </row>
    <row r="248" spans="1:40" x14ac:dyDescent="0.25">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v>153.1</v>
      </c>
      <c r="V248">
        <v>149.9</v>
      </c>
      <c r="W248">
        <v>151.19999999999999</v>
      </c>
      <c r="X248">
        <v>154.80000000000001</v>
      </c>
      <c r="Y248">
        <v>135</v>
      </c>
      <c r="Z248">
        <v>149.5</v>
      </c>
      <c r="AA248">
        <v>161.1</v>
      </c>
      <c r="AB248">
        <v>140.6</v>
      </c>
      <c r="AC248">
        <v>147.1</v>
      </c>
      <c r="AD248">
        <v>152.30000000000001</v>
      </c>
      <c r="AE248">
        <v>1940.9999999999995</v>
      </c>
      <c r="AF248">
        <v>290.10000000000002</v>
      </c>
      <c r="AG248">
        <v>451.79999999999995</v>
      </c>
      <c r="AH248">
        <v>304.29999999999995</v>
      </c>
      <c r="AI248">
        <v>167.8</v>
      </c>
      <c r="AJ248">
        <v>149.9</v>
      </c>
      <c r="AK248">
        <v>154.80000000000001</v>
      </c>
      <c r="AL248">
        <v>135</v>
      </c>
      <c r="AM248">
        <v>161.1</v>
      </c>
      <c r="AN248">
        <v>147.1</v>
      </c>
    </row>
    <row r="249" spans="1:40" x14ac:dyDescent="0.25">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c r="AE249">
        <v>1956.7</v>
      </c>
      <c r="AF249">
        <v>277</v>
      </c>
      <c r="AG249">
        <v>424.20000000000005</v>
      </c>
      <c r="AH249">
        <v>292.60000000000002</v>
      </c>
      <c r="AI249">
        <v>170.4</v>
      </c>
      <c r="AJ249">
        <v>133.6</v>
      </c>
      <c r="AK249">
        <v>143.19999999999999</v>
      </c>
      <c r="AL249">
        <v>125.2</v>
      </c>
      <c r="AM249">
        <v>151.9</v>
      </c>
      <c r="AN249">
        <v>137.69999999999999</v>
      </c>
    </row>
    <row r="250" spans="1:40" x14ac:dyDescent="0.25">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c r="AE250">
        <v>1946.1000000000001</v>
      </c>
      <c r="AF250">
        <v>282.70000000000005</v>
      </c>
      <c r="AG250">
        <v>440.6</v>
      </c>
      <c r="AH250">
        <v>298.60000000000002</v>
      </c>
      <c r="AI250">
        <v>168.5</v>
      </c>
      <c r="AJ250">
        <v>143.69999999999999</v>
      </c>
      <c r="AK250">
        <v>150.4</v>
      </c>
      <c r="AL250">
        <v>129.80000000000001</v>
      </c>
      <c r="AM250">
        <v>155.69999999999999</v>
      </c>
      <c r="AN250">
        <v>142.5</v>
      </c>
    </row>
    <row r="251" spans="1:40" x14ac:dyDescent="0.25">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v>152.80000000000001</v>
      </c>
      <c r="V251">
        <v>150.4</v>
      </c>
      <c r="W251">
        <v>151.69999999999999</v>
      </c>
      <c r="X251">
        <v>155.69999999999999</v>
      </c>
      <c r="Y251">
        <v>136.30000000000001</v>
      </c>
      <c r="Z251">
        <v>150.1</v>
      </c>
      <c r="AA251">
        <v>161.69999999999999</v>
      </c>
      <c r="AB251">
        <v>142.5</v>
      </c>
      <c r="AC251">
        <v>148.1</v>
      </c>
      <c r="AD251">
        <v>151.9</v>
      </c>
      <c r="AE251">
        <v>1938.6</v>
      </c>
      <c r="AF251">
        <v>292.60000000000002</v>
      </c>
      <c r="AG251">
        <v>452.30000000000007</v>
      </c>
      <c r="AH251">
        <v>304.5</v>
      </c>
      <c r="AI251">
        <v>168.6</v>
      </c>
      <c r="AJ251">
        <v>150.4</v>
      </c>
      <c r="AK251">
        <v>155.69999999999999</v>
      </c>
      <c r="AL251">
        <v>136.30000000000001</v>
      </c>
      <c r="AM251">
        <v>161.69999999999999</v>
      </c>
      <c r="AN251">
        <v>148.1</v>
      </c>
    </row>
    <row r="252" spans="1:40" x14ac:dyDescent="0.25">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c r="AE252">
        <v>1945.3999999999999</v>
      </c>
      <c r="AF252">
        <v>279.29999999999995</v>
      </c>
      <c r="AG252">
        <v>425.1</v>
      </c>
      <c r="AH252">
        <v>294</v>
      </c>
      <c r="AI252">
        <v>170.8</v>
      </c>
      <c r="AJ252">
        <v>135.1</v>
      </c>
      <c r="AK252">
        <v>143.80000000000001</v>
      </c>
      <c r="AL252">
        <v>126.1</v>
      </c>
      <c r="AM252">
        <v>152.1</v>
      </c>
      <c r="AN252">
        <v>138.4</v>
      </c>
    </row>
    <row r="253" spans="1:40" x14ac:dyDescent="0.25">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c r="AE253">
        <v>1940.3999999999999</v>
      </c>
      <c r="AF253">
        <v>285.10000000000002</v>
      </c>
      <c r="AG253">
        <v>441.2</v>
      </c>
      <c r="AH253">
        <v>300.10000000000002</v>
      </c>
      <c r="AI253">
        <v>169.2</v>
      </c>
      <c r="AJ253">
        <v>144.6</v>
      </c>
      <c r="AK253">
        <v>151.19999999999999</v>
      </c>
      <c r="AL253">
        <v>130.9</v>
      </c>
      <c r="AM253">
        <v>156.1</v>
      </c>
      <c r="AN253">
        <v>143.4</v>
      </c>
    </row>
    <row r="254" spans="1:40" x14ac:dyDescent="0.25">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v>154.19999999999999</v>
      </c>
      <c r="V254">
        <v>152.30000000000001</v>
      </c>
      <c r="W254">
        <v>151.80000000000001</v>
      </c>
      <c r="X254">
        <v>156.19999999999999</v>
      </c>
      <c r="Y254">
        <v>136</v>
      </c>
      <c r="Z254">
        <v>150.4</v>
      </c>
      <c r="AA254">
        <v>161.9</v>
      </c>
      <c r="AB254">
        <v>143.4</v>
      </c>
      <c r="AC254">
        <v>148.4</v>
      </c>
      <c r="AD254">
        <v>150.4</v>
      </c>
      <c r="AE254">
        <v>1909.7999999999997</v>
      </c>
      <c r="AF254">
        <v>293.8</v>
      </c>
      <c r="AG254">
        <v>452.8</v>
      </c>
      <c r="AH254">
        <v>306</v>
      </c>
      <c r="AI254">
        <v>169.4</v>
      </c>
      <c r="AJ254">
        <v>152.30000000000001</v>
      </c>
      <c r="AK254">
        <v>156.19999999999999</v>
      </c>
      <c r="AL254">
        <v>136</v>
      </c>
      <c r="AM254">
        <v>161.9</v>
      </c>
      <c r="AN254">
        <v>148.4</v>
      </c>
    </row>
    <row r="255" spans="1:40" x14ac:dyDescent="0.25">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c r="AE255">
        <v>1916.6</v>
      </c>
      <c r="AF255">
        <v>281.2</v>
      </c>
      <c r="AG255">
        <v>426</v>
      </c>
      <c r="AH255">
        <v>295.20000000000005</v>
      </c>
      <c r="AI255">
        <v>172</v>
      </c>
      <c r="AJ255">
        <v>138.9</v>
      </c>
      <c r="AK255">
        <v>144.4</v>
      </c>
      <c r="AL255">
        <v>125.2</v>
      </c>
      <c r="AM255">
        <v>152.19999999999999</v>
      </c>
      <c r="AN255">
        <v>138.4</v>
      </c>
    </row>
    <row r="256" spans="1:40" x14ac:dyDescent="0.25">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c r="AE256">
        <v>1911.6</v>
      </c>
      <c r="AF256">
        <v>286.60000000000002</v>
      </c>
      <c r="AG256">
        <v>442</v>
      </c>
      <c r="AH256">
        <v>301.20000000000005</v>
      </c>
      <c r="AI256">
        <v>170.1</v>
      </c>
      <c r="AJ256">
        <v>147.19999999999999</v>
      </c>
      <c r="AK256">
        <v>151.69999999999999</v>
      </c>
      <c r="AL256">
        <v>130.30000000000001</v>
      </c>
      <c r="AM256">
        <v>156.19999999999999</v>
      </c>
      <c r="AN256">
        <v>143.6</v>
      </c>
    </row>
    <row r="257" spans="1:40" x14ac:dyDescent="0.25">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v>154</v>
      </c>
      <c r="V257">
        <v>153.4</v>
      </c>
      <c r="W257">
        <v>151.5</v>
      </c>
      <c r="X257">
        <v>156.69999999999999</v>
      </c>
      <c r="Y257">
        <v>135.80000000000001</v>
      </c>
      <c r="Z257">
        <v>151.19999999999999</v>
      </c>
      <c r="AA257">
        <v>161.19999999999999</v>
      </c>
      <c r="AB257">
        <v>145.1</v>
      </c>
      <c r="AC257">
        <v>148.6</v>
      </c>
      <c r="AD257">
        <v>149.80000000000001</v>
      </c>
      <c r="AE257">
        <v>1894.5999999999997</v>
      </c>
      <c r="AF257">
        <v>296.29999999999995</v>
      </c>
      <c r="AG257">
        <v>453.5</v>
      </c>
      <c r="AH257">
        <v>305.5</v>
      </c>
      <c r="AI257">
        <v>170.5</v>
      </c>
      <c r="AJ257">
        <v>153.4</v>
      </c>
      <c r="AK257">
        <v>156.69999999999999</v>
      </c>
      <c r="AL257">
        <v>135.80000000000001</v>
      </c>
      <c r="AM257">
        <v>161.19999999999999</v>
      </c>
      <c r="AN257">
        <v>148.6</v>
      </c>
    </row>
    <row r="258" spans="1:40" x14ac:dyDescent="0.25">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c r="AE258">
        <v>1898.5</v>
      </c>
      <c r="AF258">
        <v>283.20000000000005</v>
      </c>
      <c r="AG258">
        <v>427.1</v>
      </c>
      <c r="AH258">
        <v>295.3</v>
      </c>
      <c r="AI258">
        <v>173.3</v>
      </c>
      <c r="AJ258">
        <v>141.4</v>
      </c>
      <c r="AK258">
        <v>145</v>
      </c>
      <c r="AL258">
        <v>124.6</v>
      </c>
      <c r="AM258">
        <v>152.5</v>
      </c>
      <c r="AN258">
        <v>138.69999999999999</v>
      </c>
    </row>
    <row r="259" spans="1:40" x14ac:dyDescent="0.25">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c r="AE259">
        <v>1895.4</v>
      </c>
      <c r="AF259">
        <v>288.89999999999998</v>
      </c>
      <c r="AG259">
        <v>442.90000000000003</v>
      </c>
      <c r="AH259">
        <v>300.89999999999998</v>
      </c>
      <c r="AI259">
        <v>171.2</v>
      </c>
      <c r="AJ259">
        <v>148.9</v>
      </c>
      <c r="AK259">
        <v>152.30000000000001</v>
      </c>
      <c r="AL259">
        <v>129.9</v>
      </c>
      <c r="AM259">
        <v>156.1</v>
      </c>
      <c r="AN259">
        <v>143.80000000000001</v>
      </c>
    </row>
    <row r="260" spans="1:40" x14ac:dyDescent="0.25">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v>155</v>
      </c>
      <c r="V260">
        <v>148.4</v>
      </c>
      <c r="W260" t="s">
        <v>32</v>
      </c>
      <c r="X260">
        <v>154.30000000000001</v>
      </c>
      <c r="Y260" t="s">
        <v>32</v>
      </c>
      <c r="Z260" t="s">
        <v>32</v>
      </c>
      <c r="AA260" t="s">
        <v>32</v>
      </c>
      <c r="AB260" t="s">
        <v>32</v>
      </c>
      <c r="AC260" t="s">
        <v>32</v>
      </c>
      <c r="AD260" t="s">
        <v>32</v>
      </c>
      <c r="AE260">
        <v>1614.8000000000002</v>
      </c>
      <c r="AF260">
        <v>0</v>
      </c>
      <c r="AG260">
        <v>0</v>
      </c>
      <c r="AH260">
        <v>155</v>
      </c>
      <c r="AI260" t="s">
        <v>32</v>
      </c>
      <c r="AJ260">
        <v>148.4</v>
      </c>
      <c r="AK260">
        <v>154.30000000000001</v>
      </c>
      <c r="AL260" t="s">
        <v>32</v>
      </c>
      <c r="AM260" t="s">
        <v>32</v>
      </c>
      <c r="AN260" t="s">
        <v>32</v>
      </c>
    </row>
    <row r="261" spans="1:40" x14ac:dyDescent="0.25">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c r="AE261">
        <v>1636.7</v>
      </c>
      <c r="AF261">
        <v>0</v>
      </c>
      <c r="AG261">
        <v>0</v>
      </c>
      <c r="AH261">
        <v>155.6</v>
      </c>
      <c r="AI261" t="s">
        <v>32</v>
      </c>
      <c r="AJ261">
        <v>137.1</v>
      </c>
      <c r="AK261">
        <v>144.80000000000001</v>
      </c>
      <c r="AL261" t="s">
        <v>32</v>
      </c>
      <c r="AM261" t="s">
        <v>32</v>
      </c>
      <c r="AN261" t="s">
        <v>32</v>
      </c>
    </row>
    <row r="262" spans="1:40" x14ac:dyDescent="0.25">
      <c r="A262" t="s">
        <v>34</v>
      </c>
      <c r="B262">
        <v>2020</v>
      </c>
      <c r="C262" t="s">
        <v>37</v>
      </c>
      <c r="D262">
        <v>148.69999999999999</v>
      </c>
      <c r="E262">
        <v>179.9</v>
      </c>
      <c r="F262">
        <v>148.80000000000001</v>
      </c>
      <c r="G262">
        <v>155.6</v>
      </c>
      <c r="H262">
        <v>135.1</v>
      </c>
      <c r="I262">
        <v>149.9</v>
      </c>
      <c r="J262">
        <v>168.6</v>
      </c>
      <c r="K262">
        <v>150.4</v>
      </c>
      <c r="L262">
        <v>120.3</v>
      </c>
      <c r="M262">
        <v>157.1</v>
      </c>
      <c r="N262">
        <v>136.80000000000001</v>
      </c>
      <c r="O262">
        <v>160.5</v>
      </c>
      <c r="P262">
        <v>151.4</v>
      </c>
      <c r="Q262" t="s">
        <v>32</v>
      </c>
      <c r="R262" t="s">
        <v>32</v>
      </c>
      <c r="S262" t="s">
        <v>32</v>
      </c>
      <c r="T262" t="s">
        <v>32</v>
      </c>
      <c r="U262">
        <v>155.6</v>
      </c>
      <c r="V262">
        <v>144.1</v>
      </c>
      <c r="W262" t="s">
        <v>32</v>
      </c>
      <c r="X262">
        <v>150.69999999999999</v>
      </c>
      <c r="Y262">
        <v>132.5</v>
      </c>
      <c r="Z262" t="s">
        <v>32</v>
      </c>
      <c r="AA262">
        <v>156.19999999999999</v>
      </c>
      <c r="AB262" t="s">
        <v>32</v>
      </c>
      <c r="AC262">
        <v>145.1</v>
      </c>
      <c r="AD262" t="s">
        <v>32</v>
      </c>
      <c r="AE262">
        <v>1963.1</v>
      </c>
      <c r="AF262">
        <v>0</v>
      </c>
      <c r="AG262">
        <v>0</v>
      </c>
      <c r="AH262" t="s">
        <v>83</v>
      </c>
      <c r="AI262" t="s">
        <v>32</v>
      </c>
      <c r="AJ262">
        <v>144.1</v>
      </c>
      <c r="AK262">
        <v>150.69999999999999</v>
      </c>
      <c r="AL262">
        <v>132.69999999999999</v>
      </c>
      <c r="AM262">
        <v>156.19999999999999</v>
      </c>
      <c r="AN262">
        <v>145.30000000000001</v>
      </c>
    </row>
    <row r="263" spans="1:40" x14ac:dyDescent="0.25">
      <c r="A263" t="s">
        <v>30</v>
      </c>
      <c r="B263">
        <v>2020</v>
      </c>
      <c r="C263" t="s">
        <v>38</v>
      </c>
      <c r="D263">
        <v>149.69999999999999</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v>155</v>
      </c>
      <c r="V263" t="s">
        <v>32</v>
      </c>
      <c r="W263" t="s">
        <v>32</v>
      </c>
      <c r="X263" t="s">
        <v>32</v>
      </c>
      <c r="Y263" t="s">
        <v>32</v>
      </c>
      <c r="Z263" t="s">
        <v>32</v>
      </c>
      <c r="AA263" t="s">
        <v>32</v>
      </c>
      <c r="AB263" t="s">
        <v>32</v>
      </c>
      <c r="AC263" t="s">
        <v>32</v>
      </c>
      <c r="AD263" t="s">
        <v>32</v>
      </c>
      <c r="AE263">
        <v>149.69999999999999</v>
      </c>
      <c r="AF263">
        <v>0</v>
      </c>
      <c r="AG263">
        <v>0</v>
      </c>
      <c r="AH263">
        <v>155</v>
      </c>
      <c r="AI263" t="s">
        <v>32</v>
      </c>
      <c r="AJ263" t="s">
        <v>32</v>
      </c>
      <c r="AK263" t="s">
        <v>32</v>
      </c>
      <c r="AL263" t="s">
        <v>32</v>
      </c>
      <c r="AM263" t="s">
        <v>32</v>
      </c>
      <c r="AN263" t="s">
        <v>32</v>
      </c>
    </row>
    <row r="264" spans="1:40" x14ac:dyDescent="0.25">
      <c r="A264" t="s">
        <v>33</v>
      </c>
      <c r="B264">
        <v>2020</v>
      </c>
      <c r="C264" t="s">
        <v>38</v>
      </c>
      <c r="D264">
        <v>149.69999999999999</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v>155</v>
      </c>
      <c r="V264" t="s">
        <v>32</v>
      </c>
      <c r="W264" t="s">
        <v>32</v>
      </c>
      <c r="X264" t="s">
        <v>32</v>
      </c>
      <c r="Y264" t="s">
        <v>32</v>
      </c>
      <c r="Z264" t="s">
        <v>32</v>
      </c>
      <c r="AA264" t="s">
        <v>32</v>
      </c>
      <c r="AB264" t="s">
        <v>32</v>
      </c>
      <c r="AC264" t="s">
        <v>32</v>
      </c>
      <c r="AD264" t="s">
        <v>32</v>
      </c>
      <c r="AE264">
        <v>149.69999999999999</v>
      </c>
      <c r="AF264">
        <v>0</v>
      </c>
      <c r="AG264">
        <v>0</v>
      </c>
      <c r="AH264">
        <v>155</v>
      </c>
      <c r="AI264" t="s">
        <v>32</v>
      </c>
      <c r="AJ264" t="s">
        <v>32</v>
      </c>
      <c r="AK264" t="s">
        <v>32</v>
      </c>
      <c r="AL264" t="s">
        <v>32</v>
      </c>
      <c r="AM264" t="s">
        <v>32</v>
      </c>
      <c r="AN264" t="s">
        <v>32</v>
      </c>
    </row>
    <row r="265" spans="1:40" x14ac:dyDescent="0.25">
      <c r="A265" t="s">
        <v>34</v>
      </c>
      <c r="B265">
        <v>2020</v>
      </c>
      <c r="C265" t="s">
        <v>38</v>
      </c>
      <c r="D265">
        <v>149.69999999999999</v>
      </c>
      <c r="E265">
        <v>186.3</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v>154.19999999999999</v>
      </c>
      <c r="V265">
        <v>143</v>
      </c>
      <c r="W265" t="s">
        <v>32</v>
      </c>
      <c r="X265">
        <v>152.5</v>
      </c>
      <c r="Y265">
        <v>133.69999999999999</v>
      </c>
      <c r="Z265" t="s">
        <v>32</v>
      </c>
      <c r="AA265">
        <v>156.30000000000001</v>
      </c>
      <c r="AB265" t="s">
        <v>32</v>
      </c>
      <c r="AC265">
        <v>146.19999999999999</v>
      </c>
      <c r="AD265" t="s">
        <v>32</v>
      </c>
      <c r="AE265">
        <v>149.69999999999999</v>
      </c>
      <c r="AF265">
        <v>0</v>
      </c>
      <c r="AG265">
        <v>0</v>
      </c>
      <c r="AH265">
        <v>301.10000000000002</v>
      </c>
      <c r="AI265" t="s">
        <v>32</v>
      </c>
      <c r="AJ265">
        <v>143</v>
      </c>
      <c r="AK265">
        <v>152.5</v>
      </c>
      <c r="AL265">
        <v>133.80000000000001</v>
      </c>
      <c r="AM265">
        <v>156.30000000000001</v>
      </c>
      <c r="AN265">
        <v>146.19999999999999</v>
      </c>
    </row>
    <row r="266" spans="1:40" x14ac:dyDescent="0.25">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v>154.6</v>
      </c>
      <c r="V266">
        <v>144.9</v>
      </c>
      <c r="W266">
        <v>151.69999999999999</v>
      </c>
      <c r="X266">
        <v>158.19999999999999</v>
      </c>
      <c r="Y266">
        <v>141.4</v>
      </c>
      <c r="Z266">
        <v>153.19999999999999</v>
      </c>
      <c r="AA266">
        <v>161.80000000000001</v>
      </c>
      <c r="AB266">
        <v>151.19999999999999</v>
      </c>
      <c r="AC266">
        <v>151.69999999999999</v>
      </c>
      <c r="AD266">
        <v>152.69999999999999</v>
      </c>
      <c r="AE266">
        <v>1951</v>
      </c>
      <c r="AF266">
        <v>304.39999999999998</v>
      </c>
      <c r="AG266">
        <v>458.79999999999995</v>
      </c>
      <c r="AH266">
        <v>306.29999999999995</v>
      </c>
      <c r="AI266">
        <v>182.4</v>
      </c>
      <c r="AJ266">
        <v>144.9</v>
      </c>
      <c r="AK266">
        <v>158.19999999999999</v>
      </c>
      <c r="AL266">
        <v>141.4</v>
      </c>
      <c r="AM266">
        <v>161.80000000000001</v>
      </c>
      <c r="AN266">
        <v>151.69999999999999</v>
      </c>
    </row>
    <row r="267" spans="1:40" x14ac:dyDescent="0.25">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c r="AE267">
        <v>1994.9999999999998</v>
      </c>
      <c r="AF267">
        <v>296.7</v>
      </c>
      <c r="AG267">
        <v>432.9</v>
      </c>
      <c r="AH267">
        <v>295.10000000000002</v>
      </c>
      <c r="AI267">
        <v>186.7</v>
      </c>
      <c r="AJ267">
        <v>137.1</v>
      </c>
      <c r="AK267">
        <v>148.1</v>
      </c>
      <c r="AL267">
        <v>129.30000000000001</v>
      </c>
      <c r="AM267">
        <v>152.5</v>
      </c>
      <c r="AN267">
        <v>142</v>
      </c>
    </row>
    <row r="268" spans="1:40" x14ac:dyDescent="0.25">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c r="AE268">
        <v>1966.8000000000002</v>
      </c>
      <c r="AF268">
        <v>299.89999999999998</v>
      </c>
      <c r="AG268">
        <v>448.29999999999995</v>
      </c>
      <c r="AH268">
        <v>301.10000000000002</v>
      </c>
      <c r="AI268">
        <v>183.5</v>
      </c>
      <c r="AJ268">
        <v>141.9</v>
      </c>
      <c r="AK268">
        <v>154.4</v>
      </c>
      <c r="AL268">
        <v>135</v>
      </c>
      <c r="AM268">
        <v>156.4</v>
      </c>
      <c r="AN268">
        <v>147</v>
      </c>
    </row>
    <row r="269" spans="1:40" x14ac:dyDescent="0.25">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v>154.69999999999999</v>
      </c>
      <c r="V269">
        <v>144.9</v>
      </c>
      <c r="W269">
        <v>151.69999999999999</v>
      </c>
      <c r="X269">
        <v>158.19999999999999</v>
      </c>
      <c r="Y269">
        <v>141.4</v>
      </c>
      <c r="Z269">
        <v>153.19999999999999</v>
      </c>
      <c r="AA269">
        <v>161.80000000000001</v>
      </c>
      <c r="AB269">
        <v>151.19999999999999</v>
      </c>
      <c r="AC269">
        <v>151.69999999999999</v>
      </c>
      <c r="AD269">
        <v>152.69999999999999</v>
      </c>
      <c r="AE269">
        <v>1951</v>
      </c>
      <c r="AF269">
        <v>304.39999999999998</v>
      </c>
      <c r="AG269">
        <v>458.79999999999995</v>
      </c>
      <c r="AH269">
        <v>306.39999999999998</v>
      </c>
      <c r="AI269">
        <v>182.4</v>
      </c>
      <c r="AJ269">
        <v>144.9</v>
      </c>
      <c r="AK269">
        <v>158.19999999999999</v>
      </c>
      <c r="AL269">
        <v>141.4</v>
      </c>
      <c r="AM269">
        <v>161.80000000000001</v>
      </c>
      <c r="AN269">
        <v>151.69999999999999</v>
      </c>
    </row>
    <row r="270" spans="1:40" x14ac:dyDescent="0.25">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c r="AE270">
        <v>1994.9999999999998</v>
      </c>
      <c r="AF270">
        <v>296.7</v>
      </c>
      <c r="AG270">
        <v>432.9</v>
      </c>
      <c r="AH270">
        <v>295.10000000000002</v>
      </c>
      <c r="AI270">
        <v>186.7</v>
      </c>
      <c r="AJ270">
        <v>137.1</v>
      </c>
      <c r="AK270">
        <v>148.1</v>
      </c>
      <c r="AL270">
        <v>129.30000000000001</v>
      </c>
      <c r="AM270">
        <v>152.5</v>
      </c>
      <c r="AN270">
        <v>142</v>
      </c>
    </row>
    <row r="271" spans="1:40" x14ac:dyDescent="0.25">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c r="AE271">
        <v>1966.8000000000002</v>
      </c>
      <c r="AF271">
        <v>299.89999999999998</v>
      </c>
      <c r="AG271">
        <v>448.29999999999995</v>
      </c>
      <c r="AH271">
        <v>301.10000000000002</v>
      </c>
      <c r="AI271">
        <v>183.5</v>
      </c>
      <c r="AJ271">
        <v>141.9</v>
      </c>
      <c r="AK271">
        <v>154.4</v>
      </c>
      <c r="AL271">
        <v>135</v>
      </c>
      <c r="AM271">
        <v>156.4</v>
      </c>
      <c r="AN271">
        <v>147</v>
      </c>
    </row>
    <row r="272" spans="1:40" x14ac:dyDescent="0.25">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v>155.19999999999999</v>
      </c>
      <c r="V272">
        <v>145.80000000000001</v>
      </c>
      <c r="W272">
        <v>151.9</v>
      </c>
      <c r="X272">
        <v>158.80000000000001</v>
      </c>
      <c r="Y272">
        <v>143.6</v>
      </c>
      <c r="Z272">
        <v>152.19999999999999</v>
      </c>
      <c r="AA272">
        <v>162.69999999999999</v>
      </c>
      <c r="AB272">
        <v>153.6</v>
      </c>
      <c r="AC272">
        <v>153</v>
      </c>
      <c r="AD272">
        <v>154.69999999999999</v>
      </c>
      <c r="AE272">
        <v>1978.6</v>
      </c>
      <c r="AF272">
        <v>305.79999999999995</v>
      </c>
      <c r="AG272">
        <v>458.7</v>
      </c>
      <c r="AH272">
        <v>307.10000000000002</v>
      </c>
      <c r="AI272">
        <v>180.9</v>
      </c>
      <c r="AJ272">
        <v>145.80000000000001</v>
      </c>
      <c r="AK272">
        <v>158.80000000000001</v>
      </c>
      <c r="AL272">
        <v>143.6</v>
      </c>
      <c r="AM272">
        <v>162.69999999999999</v>
      </c>
      <c r="AN272">
        <v>153</v>
      </c>
    </row>
    <row r="273" spans="1:40" x14ac:dyDescent="0.25">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c r="AE273">
        <v>2024.8999999999999</v>
      </c>
      <c r="AF273">
        <v>296.39999999999998</v>
      </c>
      <c r="AG273">
        <v>433</v>
      </c>
      <c r="AH273">
        <v>300</v>
      </c>
      <c r="AI273">
        <v>187.2</v>
      </c>
      <c r="AJ273">
        <v>138.30000000000001</v>
      </c>
      <c r="AK273">
        <v>148.69999999999999</v>
      </c>
      <c r="AL273">
        <v>133.9</v>
      </c>
      <c r="AM273">
        <v>155.5</v>
      </c>
      <c r="AN273">
        <v>144.80000000000001</v>
      </c>
    </row>
    <row r="274" spans="1:40" x14ac:dyDescent="0.25">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c r="AE274">
        <v>1995.1999999999998</v>
      </c>
      <c r="AF274">
        <v>300.3</v>
      </c>
      <c r="AG274">
        <v>448.2</v>
      </c>
      <c r="AH274">
        <v>303.89999999999998</v>
      </c>
      <c r="AI274">
        <v>182.6</v>
      </c>
      <c r="AJ274">
        <v>143</v>
      </c>
      <c r="AK274">
        <v>155</v>
      </c>
      <c r="AL274">
        <v>138.5</v>
      </c>
      <c r="AM274">
        <v>158.5</v>
      </c>
      <c r="AN274">
        <v>149</v>
      </c>
    </row>
    <row r="275" spans="1:40" x14ac:dyDescent="0.25">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v>155.9</v>
      </c>
      <c r="V275">
        <v>146.4</v>
      </c>
      <c r="W275">
        <v>151.6</v>
      </c>
      <c r="X275">
        <v>159.1</v>
      </c>
      <c r="Y275">
        <v>144.6</v>
      </c>
      <c r="Z275">
        <v>152.80000000000001</v>
      </c>
      <c r="AA275">
        <v>161.1</v>
      </c>
      <c r="AB275">
        <v>157.4</v>
      </c>
      <c r="AC275">
        <v>153.69999999999999</v>
      </c>
      <c r="AD275">
        <v>155.4</v>
      </c>
      <c r="AE275">
        <v>1987.3999999999999</v>
      </c>
      <c r="AF275">
        <v>310.20000000000005</v>
      </c>
      <c r="AG275">
        <v>459.9</v>
      </c>
      <c r="AH275">
        <v>307.5</v>
      </c>
      <c r="AI275">
        <v>182.9</v>
      </c>
      <c r="AJ275">
        <v>146.4</v>
      </c>
      <c r="AK275">
        <v>159.1</v>
      </c>
      <c r="AL275">
        <v>144.6</v>
      </c>
      <c r="AM275">
        <v>161.1</v>
      </c>
      <c r="AN275">
        <v>153.69999999999999</v>
      </c>
    </row>
    <row r="276" spans="1:40" x14ac:dyDescent="0.25">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c r="AE276">
        <v>2041.6000000000001</v>
      </c>
      <c r="AF276">
        <v>301.60000000000002</v>
      </c>
      <c r="AG276">
        <v>434.6</v>
      </c>
      <c r="AH276">
        <v>301.70000000000005</v>
      </c>
      <c r="AI276">
        <v>188.7</v>
      </c>
      <c r="AJ276">
        <v>137.19999999999999</v>
      </c>
      <c r="AK276">
        <v>150</v>
      </c>
      <c r="AL276">
        <v>135.1</v>
      </c>
      <c r="AM276">
        <v>154.9</v>
      </c>
      <c r="AN276">
        <v>146</v>
      </c>
    </row>
    <row r="277" spans="1:40" x14ac:dyDescent="0.25">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c r="AE277">
        <v>2007</v>
      </c>
      <c r="AF277">
        <v>305</v>
      </c>
      <c r="AG277">
        <v>449.70000000000005</v>
      </c>
      <c r="AH277">
        <v>305</v>
      </c>
      <c r="AI277">
        <v>184.4</v>
      </c>
      <c r="AJ277">
        <v>142.9</v>
      </c>
      <c r="AK277">
        <v>155.6</v>
      </c>
      <c r="AL277">
        <v>139.6</v>
      </c>
      <c r="AM277">
        <v>157.5</v>
      </c>
      <c r="AN277">
        <v>150</v>
      </c>
    </row>
    <row r="278" spans="1:40" x14ac:dyDescent="0.25">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v>156.19999999999999</v>
      </c>
      <c r="V278">
        <v>146.80000000000001</v>
      </c>
      <c r="W278">
        <v>152</v>
      </c>
      <c r="X278">
        <v>159.5</v>
      </c>
      <c r="Y278">
        <v>146.4</v>
      </c>
      <c r="Z278">
        <v>152.4</v>
      </c>
      <c r="AA278">
        <v>162.5</v>
      </c>
      <c r="AB278">
        <v>156.19999999999999</v>
      </c>
      <c r="AC278">
        <v>154.30000000000001</v>
      </c>
      <c r="AD278">
        <v>157.5</v>
      </c>
      <c r="AE278">
        <v>2030.9</v>
      </c>
      <c r="AF278">
        <v>308.60000000000002</v>
      </c>
      <c r="AG278">
        <v>461.29999999999995</v>
      </c>
      <c r="AH278">
        <v>308.2</v>
      </c>
      <c r="AI278">
        <v>182.7</v>
      </c>
      <c r="AJ278">
        <v>146.80000000000001</v>
      </c>
      <c r="AK278">
        <v>159.5</v>
      </c>
      <c r="AL278">
        <v>146.4</v>
      </c>
      <c r="AM278">
        <v>162.5</v>
      </c>
      <c r="AN278">
        <v>154.30000000000001</v>
      </c>
    </row>
    <row r="279" spans="1:40" x14ac:dyDescent="0.25">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c r="AE279">
        <v>2080.1999999999998</v>
      </c>
      <c r="AF279">
        <v>300.10000000000002</v>
      </c>
      <c r="AG279">
        <v>434.90000000000003</v>
      </c>
      <c r="AH279">
        <v>301.60000000000002</v>
      </c>
      <c r="AI279">
        <v>188.7</v>
      </c>
      <c r="AJ279">
        <v>137.1</v>
      </c>
      <c r="AK279">
        <v>151</v>
      </c>
      <c r="AL279">
        <v>135.4</v>
      </c>
      <c r="AM279">
        <v>155.69999999999999</v>
      </c>
      <c r="AN279">
        <v>146.19999999999999</v>
      </c>
    </row>
    <row r="280" spans="1:40" x14ac:dyDescent="0.25">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c r="AE280">
        <v>2048.6000000000004</v>
      </c>
      <c r="AF280">
        <v>303.5</v>
      </c>
      <c r="AG280">
        <v>450.59999999999997</v>
      </c>
      <c r="AH280">
        <v>305.2</v>
      </c>
      <c r="AI280">
        <v>184.3</v>
      </c>
      <c r="AJ280">
        <v>143.1</v>
      </c>
      <c r="AK280">
        <v>156.30000000000001</v>
      </c>
      <c r="AL280">
        <v>140.6</v>
      </c>
      <c r="AM280">
        <v>158.5</v>
      </c>
      <c r="AN280">
        <v>150.4</v>
      </c>
    </row>
    <row r="281" spans="1:40" x14ac:dyDescent="0.25">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v>157.19999999999999</v>
      </c>
      <c r="V281">
        <v>147.5</v>
      </c>
      <c r="W281">
        <v>152.80000000000001</v>
      </c>
      <c r="X281">
        <v>160.4</v>
      </c>
      <c r="Y281">
        <v>146.1</v>
      </c>
      <c r="Z281">
        <v>153.6</v>
      </c>
      <c r="AA281">
        <v>161.6</v>
      </c>
      <c r="AB281">
        <v>156.19999999999999</v>
      </c>
      <c r="AC281">
        <v>154.5</v>
      </c>
      <c r="AD281">
        <v>159.80000000000001</v>
      </c>
      <c r="AE281">
        <v>2082.4</v>
      </c>
      <c r="AF281">
        <v>309.79999999999995</v>
      </c>
      <c r="AG281">
        <v>462.8</v>
      </c>
      <c r="AH281">
        <v>310</v>
      </c>
      <c r="AI281">
        <v>183.4</v>
      </c>
      <c r="AJ281">
        <v>147.5</v>
      </c>
      <c r="AK281">
        <v>160.4</v>
      </c>
      <c r="AL281">
        <v>146.1</v>
      </c>
      <c r="AM281">
        <v>161.6</v>
      </c>
      <c r="AN281">
        <v>154.5</v>
      </c>
    </row>
    <row r="282" spans="1:40" x14ac:dyDescent="0.25">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c r="AE282">
        <v>2120.6999999999998</v>
      </c>
      <c r="AF282">
        <v>302.3</v>
      </c>
      <c r="AG282">
        <v>436.3</v>
      </c>
      <c r="AH282">
        <v>303.10000000000002</v>
      </c>
      <c r="AI282">
        <v>188.8</v>
      </c>
      <c r="AJ282">
        <v>137.30000000000001</v>
      </c>
      <c r="AK282">
        <v>152</v>
      </c>
      <c r="AL282">
        <v>135.19999999999999</v>
      </c>
      <c r="AM282">
        <v>156.4</v>
      </c>
      <c r="AN282">
        <v>146.6</v>
      </c>
    </row>
    <row r="283" spans="1:40" x14ac:dyDescent="0.25">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c r="AE283">
        <v>2095.6</v>
      </c>
      <c r="AF283">
        <v>305.3</v>
      </c>
      <c r="AG283">
        <v>452.00000000000006</v>
      </c>
      <c r="AH283">
        <v>307.2</v>
      </c>
      <c r="AI283">
        <v>184.8</v>
      </c>
      <c r="AJ283">
        <v>143.6</v>
      </c>
      <c r="AK283">
        <v>157.19999999999999</v>
      </c>
      <c r="AL283">
        <v>140.4</v>
      </c>
      <c r="AM283">
        <v>158.6</v>
      </c>
      <c r="AN283">
        <v>150.69999999999999</v>
      </c>
    </row>
    <row r="284" spans="1:40" x14ac:dyDescent="0.25">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v>158.1</v>
      </c>
      <c r="V284">
        <v>148.69999999999999</v>
      </c>
      <c r="W284">
        <v>153.4</v>
      </c>
      <c r="X284">
        <v>161.6</v>
      </c>
      <c r="Y284">
        <v>146.4</v>
      </c>
      <c r="Z284">
        <v>153.9</v>
      </c>
      <c r="AA284">
        <v>162.9</v>
      </c>
      <c r="AB284">
        <v>156.6</v>
      </c>
      <c r="AC284">
        <v>155.19999999999999</v>
      </c>
      <c r="AD284">
        <v>160.69999999999999</v>
      </c>
      <c r="AE284">
        <v>2100.5</v>
      </c>
      <c r="AF284">
        <v>310.5</v>
      </c>
      <c r="AG284">
        <v>464.90000000000003</v>
      </c>
      <c r="AH284">
        <v>311.5</v>
      </c>
      <c r="AI284">
        <v>183.6</v>
      </c>
      <c r="AJ284">
        <v>148.69999999999999</v>
      </c>
      <c r="AK284">
        <v>161.6</v>
      </c>
      <c r="AL284">
        <v>146.4</v>
      </c>
      <c r="AM284">
        <v>162.9</v>
      </c>
      <c r="AN284">
        <v>155.19999999999999</v>
      </c>
    </row>
    <row r="285" spans="1:40" x14ac:dyDescent="0.25">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c r="AE285">
        <v>2125.4</v>
      </c>
      <c r="AF285">
        <v>302.20000000000005</v>
      </c>
      <c r="AG285">
        <v>438.20000000000005</v>
      </c>
      <c r="AH285">
        <v>303.89999999999998</v>
      </c>
      <c r="AI285">
        <v>190.2</v>
      </c>
      <c r="AJ285">
        <v>137.9</v>
      </c>
      <c r="AK285">
        <v>152.9</v>
      </c>
      <c r="AL285">
        <v>135.5</v>
      </c>
      <c r="AM285">
        <v>156.9</v>
      </c>
      <c r="AN285">
        <v>146.9</v>
      </c>
    </row>
    <row r="286" spans="1:40" x14ac:dyDescent="0.25">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c r="AE286">
        <v>2109.1</v>
      </c>
      <c r="AF286">
        <v>305.60000000000002</v>
      </c>
      <c r="AG286">
        <v>454</v>
      </c>
      <c r="AH286">
        <v>308.10000000000002</v>
      </c>
      <c r="AI286">
        <v>185.4</v>
      </c>
      <c r="AJ286">
        <v>144.6</v>
      </c>
      <c r="AK286">
        <v>158.30000000000001</v>
      </c>
      <c r="AL286">
        <v>140.69999999999999</v>
      </c>
      <c r="AM286">
        <v>159.4</v>
      </c>
      <c r="AN286">
        <v>151.19999999999999</v>
      </c>
    </row>
    <row r="287" spans="1:40" x14ac:dyDescent="0.25">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v>157.1</v>
      </c>
      <c r="V287">
        <v>150.9</v>
      </c>
      <c r="W287">
        <v>153.9</v>
      </c>
      <c r="X287">
        <v>162.5</v>
      </c>
      <c r="Y287">
        <v>147.5</v>
      </c>
      <c r="Z287">
        <v>155.1</v>
      </c>
      <c r="AA287">
        <v>163.5</v>
      </c>
      <c r="AB287">
        <v>156.19999999999999</v>
      </c>
      <c r="AC287">
        <v>155.9</v>
      </c>
      <c r="AD287">
        <v>158.5</v>
      </c>
      <c r="AE287">
        <v>2065.6999999999998</v>
      </c>
      <c r="AF287">
        <v>311.29999999999995</v>
      </c>
      <c r="AG287">
        <v>466.7</v>
      </c>
      <c r="AH287">
        <v>311</v>
      </c>
      <c r="AI287">
        <v>184.6</v>
      </c>
      <c r="AJ287">
        <v>150.9</v>
      </c>
      <c r="AK287">
        <v>162.5</v>
      </c>
      <c r="AL287">
        <v>147.5</v>
      </c>
      <c r="AM287">
        <v>163.5</v>
      </c>
      <c r="AN287">
        <v>155.9</v>
      </c>
    </row>
    <row r="288" spans="1:40" x14ac:dyDescent="0.25">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c r="AE288">
        <v>2097</v>
      </c>
      <c r="AF288">
        <v>303.10000000000002</v>
      </c>
      <c r="AG288">
        <v>440</v>
      </c>
      <c r="AH288">
        <v>303.39999999999998</v>
      </c>
      <c r="AI288">
        <v>191.8</v>
      </c>
      <c r="AJ288">
        <v>142.9</v>
      </c>
      <c r="AK288">
        <v>154.1</v>
      </c>
      <c r="AL288">
        <v>136.9</v>
      </c>
      <c r="AM288">
        <v>156.1</v>
      </c>
      <c r="AN288">
        <v>147.6</v>
      </c>
    </row>
    <row r="289" spans="1:40" x14ac:dyDescent="0.25">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c r="AE289">
        <v>2076.5</v>
      </c>
      <c r="AF289">
        <v>306.39999999999998</v>
      </c>
      <c r="AG289">
        <v>455.8</v>
      </c>
      <c r="AH289">
        <v>307.7</v>
      </c>
      <c r="AI289">
        <v>186.5</v>
      </c>
      <c r="AJ289">
        <v>147.9</v>
      </c>
      <c r="AK289">
        <v>159.30000000000001</v>
      </c>
      <c r="AL289">
        <v>141.9</v>
      </c>
      <c r="AM289">
        <v>159.19999999999999</v>
      </c>
      <c r="AN289">
        <v>151.9</v>
      </c>
    </row>
    <row r="290" spans="1:40" x14ac:dyDescent="0.25">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v>158</v>
      </c>
      <c r="V290">
        <v>154.4</v>
      </c>
      <c r="W290">
        <v>154.80000000000001</v>
      </c>
      <c r="X290">
        <v>164.3</v>
      </c>
      <c r="Y290">
        <v>150.19999999999999</v>
      </c>
      <c r="Z290">
        <v>157</v>
      </c>
      <c r="AA290">
        <v>163.6</v>
      </c>
      <c r="AB290">
        <v>155.19999999999999</v>
      </c>
      <c r="AC290">
        <v>157.19999999999999</v>
      </c>
      <c r="AD290">
        <v>156.69999999999999</v>
      </c>
      <c r="AE290">
        <v>2025.3</v>
      </c>
      <c r="AF290">
        <v>312.2</v>
      </c>
      <c r="AG290">
        <v>471.4</v>
      </c>
      <c r="AH290">
        <v>312.8</v>
      </c>
      <c r="AI290">
        <v>186.5</v>
      </c>
      <c r="AJ290">
        <v>154.4</v>
      </c>
      <c r="AK290">
        <v>164.3</v>
      </c>
      <c r="AL290">
        <v>150.19999999999999</v>
      </c>
      <c r="AM290">
        <v>163.6</v>
      </c>
      <c r="AN290">
        <v>157.19999999999999</v>
      </c>
    </row>
    <row r="291" spans="1:40" x14ac:dyDescent="0.25">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c r="AE291">
        <v>2066</v>
      </c>
      <c r="AF291">
        <v>304</v>
      </c>
      <c r="AG291">
        <v>444.2</v>
      </c>
      <c r="AH291">
        <v>306.3</v>
      </c>
      <c r="AI291">
        <v>193.3</v>
      </c>
      <c r="AJ291">
        <v>149.1</v>
      </c>
      <c r="AK291">
        <v>156.30000000000001</v>
      </c>
      <c r="AL291">
        <v>140.5</v>
      </c>
      <c r="AM291">
        <v>156.6</v>
      </c>
      <c r="AN291">
        <v>149.30000000000001</v>
      </c>
    </row>
    <row r="292" spans="1:40" x14ac:dyDescent="0.25">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c r="AE292">
        <v>2039.3000000000002</v>
      </c>
      <c r="AF292">
        <v>307.3</v>
      </c>
      <c r="AG292">
        <v>460.40000000000003</v>
      </c>
      <c r="AH292">
        <v>310.70000000000005</v>
      </c>
      <c r="AI292">
        <v>188.3</v>
      </c>
      <c r="AJ292">
        <v>152.4</v>
      </c>
      <c r="AK292">
        <v>161.30000000000001</v>
      </c>
      <c r="AL292">
        <v>145.1</v>
      </c>
      <c r="AM292">
        <v>159.5</v>
      </c>
      <c r="AN292">
        <v>153.4</v>
      </c>
    </row>
    <row r="293" spans="1:40" x14ac:dyDescent="0.25">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v>159.80000000000001</v>
      </c>
      <c r="V293">
        <v>156</v>
      </c>
      <c r="W293">
        <v>154.80000000000001</v>
      </c>
      <c r="X293">
        <v>164.6</v>
      </c>
      <c r="Y293">
        <v>151.30000000000001</v>
      </c>
      <c r="Z293">
        <v>157.80000000000001</v>
      </c>
      <c r="AA293">
        <v>163.80000000000001</v>
      </c>
      <c r="AB293">
        <v>153.1</v>
      </c>
      <c r="AC293">
        <v>157.30000000000001</v>
      </c>
      <c r="AD293">
        <v>156.69999999999999</v>
      </c>
      <c r="AE293">
        <v>2025.7</v>
      </c>
      <c r="AF293">
        <v>310.89999999999998</v>
      </c>
      <c r="AG293">
        <v>472.9</v>
      </c>
      <c r="AH293">
        <v>314.60000000000002</v>
      </c>
      <c r="AI293">
        <v>186.1</v>
      </c>
      <c r="AJ293">
        <v>156</v>
      </c>
      <c r="AK293">
        <v>164.6</v>
      </c>
      <c r="AL293">
        <v>151.30000000000001</v>
      </c>
      <c r="AM293">
        <v>163.80000000000001</v>
      </c>
      <c r="AN293">
        <v>157.30000000000001</v>
      </c>
    </row>
    <row r="294" spans="1:40" x14ac:dyDescent="0.25">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c r="AE294">
        <v>2064.4999999999995</v>
      </c>
      <c r="AF294">
        <v>303.5</v>
      </c>
      <c r="AG294">
        <v>446.4</v>
      </c>
      <c r="AH294">
        <v>307.10000000000002</v>
      </c>
      <c r="AI294">
        <v>193.5</v>
      </c>
      <c r="AJ294">
        <v>154.80000000000001</v>
      </c>
      <c r="AK294">
        <v>156.9</v>
      </c>
      <c r="AL294">
        <v>141.69999999999999</v>
      </c>
      <c r="AM294">
        <v>157.6</v>
      </c>
      <c r="AN294">
        <v>150</v>
      </c>
    </row>
    <row r="295" spans="1:40" x14ac:dyDescent="0.25">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c r="AE295">
        <v>2039.3999999999999</v>
      </c>
      <c r="AF295">
        <v>306.39999999999998</v>
      </c>
      <c r="AG295">
        <v>462.1</v>
      </c>
      <c r="AH295">
        <v>311.10000000000002</v>
      </c>
      <c r="AI295">
        <v>188.1</v>
      </c>
      <c r="AJ295">
        <v>155.5</v>
      </c>
      <c r="AK295">
        <v>161.69999999999999</v>
      </c>
      <c r="AL295">
        <v>146.19999999999999</v>
      </c>
      <c r="AM295">
        <v>160.19999999999999</v>
      </c>
      <c r="AN295">
        <v>153.80000000000001</v>
      </c>
    </row>
    <row r="296" spans="1:40" x14ac:dyDescent="0.25">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v>159.9</v>
      </c>
      <c r="V296">
        <v>156</v>
      </c>
      <c r="W296">
        <v>155.5</v>
      </c>
      <c r="X296">
        <v>165.3</v>
      </c>
      <c r="Y296">
        <v>151.69999999999999</v>
      </c>
      <c r="Z296">
        <v>158.6</v>
      </c>
      <c r="AA296">
        <v>164.1</v>
      </c>
      <c r="AB296">
        <v>154.6</v>
      </c>
      <c r="AC296">
        <v>158</v>
      </c>
      <c r="AD296">
        <v>157.6</v>
      </c>
      <c r="AE296">
        <v>2049.5</v>
      </c>
      <c r="AF296">
        <v>313.2</v>
      </c>
      <c r="AG296">
        <v>475.69999999999993</v>
      </c>
      <c r="AH296">
        <v>315.39999999999998</v>
      </c>
      <c r="AI296">
        <v>186.8</v>
      </c>
      <c r="AJ296">
        <v>156</v>
      </c>
      <c r="AK296">
        <v>165.3</v>
      </c>
      <c r="AL296">
        <v>151.69999999999999</v>
      </c>
      <c r="AM296">
        <v>164.1</v>
      </c>
      <c r="AN296">
        <v>158</v>
      </c>
    </row>
    <row r="297" spans="1:40" x14ac:dyDescent="0.25">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c r="AE297">
        <v>2089.6</v>
      </c>
      <c r="AF297">
        <v>305.7</v>
      </c>
      <c r="AG297">
        <v>448.6</v>
      </c>
      <c r="AH297">
        <v>309</v>
      </c>
      <c r="AI297">
        <v>194.4</v>
      </c>
      <c r="AJ297">
        <v>154.9</v>
      </c>
      <c r="AK297">
        <v>157.5</v>
      </c>
      <c r="AL297">
        <v>142.1</v>
      </c>
      <c r="AM297">
        <v>157.6</v>
      </c>
      <c r="AN297">
        <v>150.5</v>
      </c>
    </row>
    <row r="298" spans="1:40" x14ac:dyDescent="0.25">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c r="AE298">
        <v>2064.1</v>
      </c>
      <c r="AF298">
        <v>308.60000000000002</v>
      </c>
      <c r="AG298">
        <v>464.6</v>
      </c>
      <c r="AH298">
        <v>313.20000000000005</v>
      </c>
      <c r="AI298">
        <v>188.8</v>
      </c>
      <c r="AJ298">
        <v>155.6</v>
      </c>
      <c r="AK298">
        <v>162.30000000000001</v>
      </c>
      <c r="AL298">
        <v>146.6</v>
      </c>
      <c r="AM298">
        <v>160.30000000000001</v>
      </c>
      <c r="AN298">
        <v>154.4</v>
      </c>
    </row>
    <row r="299" spans="1:40" x14ac:dyDescent="0.25">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v>161.4</v>
      </c>
      <c r="V299">
        <v>161.69999999999999</v>
      </c>
      <c r="W299">
        <v>158.80000000000001</v>
      </c>
      <c r="X299">
        <v>169.1</v>
      </c>
      <c r="Y299">
        <v>153.19999999999999</v>
      </c>
      <c r="Z299">
        <v>160</v>
      </c>
      <c r="AA299">
        <v>167.6</v>
      </c>
      <c r="AB299">
        <v>159.30000000000001</v>
      </c>
      <c r="AC299">
        <v>161.1</v>
      </c>
      <c r="AD299">
        <v>161.1</v>
      </c>
      <c r="AE299">
        <v>2095.2999999999997</v>
      </c>
      <c r="AF299">
        <v>319.3</v>
      </c>
      <c r="AG299">
        <v>490.4</v>
      </c>
      <c r="AH299">
        <v>320.20000000000005</v>
      </c>
      <c r="AI299">
        <v>189.6</v>
      </c>
      <c r="AJ299">
        <v>161.69999999999999</v>
      </c>
      <c r="AK299">
        <v>169.1</v>
      </c>
      <c r="AL299">
        <v>153.19999999999999</v>
      </c>
      <c r="AM299">
        <v>167.6</v>
      </c>
      <c r="AN299">
        <v>161.1</v>
      </c>
    </row>
    <row r="300" spans="1:40" x14ac:dyDescent="0.25">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c r="AE300">
        <v>2124.7000000000003</v>
      </c>
      <c r="AF300">
        <v>310.10000000000002</v>
      </c>
      <c r="AG300">
        <v>450.79999999999995</v>
      </c>
      <c r="AH300">
        <v>311.7</v>
      </c>
      <c r="AI300">
        <v>198.2</v>
      </c>
      <c r="AJ300">
        <v>155.5</v>
      </c>
      <c r="AK300">
        <v>160.4</v>
      </c>
      <c r="AL300">
        <v>145</v>
      </c>
      <c r="AM300">
        <v>156.6</v>
      </c>
      <c r="AN300">
        <v>152.30000000000001</v>
      </c>
    </row>
    <row r="301" spans="1:40" x14ac:dyDescent="0.25">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c r="AE301">
        <v>2105.7000000000003</v>
      </c>
      <c r="AF301">
        <v>314.39999999999998</v>
      </c>
      <c r="AG301">
        <v>474.29999999999995</v>
      </c>
      <c r="AH301">
        <v>316.29999999999995</v>
      </c>
      <c r="AI301">
        <v>191.9</v>
      </c>
      <c r="AJ301">
        <v>159.4</v>
      </c>
      <c r="AK301">
        <v>165.8</v>
      </c>
      <c r="AL301">
        <v>148.9</v>
      </c>
      <c r="AM301">
        <v>161.19999999999999</v>
      </c>
      <c r="AN301">
        <v>156.80000000000001</v>
      </c>
    </row>
    <row r="302" spans="1:40" x14ac:dyDescent="0.25">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v>161.6</v>
      </c>
      <c r="V302">
        <v>162.1</v>
      </c>
      <c r="W302">
        <v>159.19999999999999</v>
      </c>
      <c r="X302">
        <v>169.7</v>
      </c>
      <c r="Y302">
        <v>154.19999999999999</v>
      </c>
      <c r="Z302">
        <v>160.4</v>
      </c>
      <c r="AA302">
        <v>166.8</v>
      </c>
      <c r="AB302">
        <v>159.4</v>
      </c>
      <c r="AC302">
        <v>161.5</v>
      </c>
      <c r="AD302">
        <v>162.1</v>
      </c>
      <c r="AE302">
        <v>2122.6</v>
      </c>
      <c r="AF302">
        <v>319.8</v>
      </c>
      <c r="AG302">
        <v>489.80000000000007</v>
      </c>
      <c r="AH302">
        <v>320.79999999999995</v>
      </c>
      <c r="AI302">
        <v>189.1</v>
      </c>
      <c r="AJ302">
        <v>162.1</v>
      </c>
      <c r="AK302">
        <v>169.7</v>
      </c>
      <c r="AL302">
        <v>154.19999999999999</v>
      </c>
      <c r="AM302">
        <v>166.8</v>
      </c>
      <c r="AN302">
        <v>161.5</v>
      </c>
    </row>
    <row r="303" spans="1:40" x14ac:dyDescent="0.25">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c r="AE303">
        <v>2154.1999999999998</v>
      </c>
      <c r="AF303">
        <v>308.7</v>
      </c>
      <c r="AG303">
        <v>452.6</v>
      </c>
      <c r="AH303">
        <v>310.3</v>
      </c>
      <c r="AI303">
        <v>195.6</v>
      </c>
      <c r="AJ303">
        <v>156.1</v>
      </c>
      <c r="AK303">
        <v>160.80000000000001</v>
      </c>
      <c r="AL303">
        <v>147.5</v>
      </c>
      <c r="AM303">
        <v>158.1</v>
      </c>
      <c r="AN303">
        <v>153.4</v>
      </c>
    </row>
    <row r="304" spans="1:40" x14ac:dyDescent="0.25">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c r="AE304">
        <v>2133.9</v>
      </c>
      <c r="AF304">
        <v>313.70000000000005</v>
      </c>
      <c r="AG304">
        <v>474.7</v>
      </c>
      <c r="AH304">
        <v>315.3</v>
      </c>
      <c r="AI304">
        <v>190.8</v>
      </c>
      <c r="AJ304">
        <v>159.80000000000001</v>
      </c>
      <c r="AK304">
        <v>166.3</v>
      </c>
      <c r="AL304">
        <v>150.69999999999999</v>
      </c>
      <c r="AM304">
        <v>161.69999999999999</v>
      </c>
      <c r="AN304">
        <v>157.6</v>
      </c>
    </row>
    <row r="305" spans="1:40" x14ac:dyDescent="0.25">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v>161</v>
      </c>
      <c r="V305">
        <v>162.5</v>
      </c>
      <c r="W305">
        <v>160.30000000000001</v>
      </c>
      <c r="X305">
        <v>170.4</v>
      </c>
      <c r="Y305">
        <v>157.1</v>
      </c>
      <c r="Z305">
        <v>160.69999999999999</v>
      </c>
      <c r="AA305">
        <v>167.2</v>
      </c>
      <c r="AB305">
        <v>160.4</v>
      </c>
      <c r="AC305">
        <v>162.80000000000001</v>
      </c>
      <c r="AD305">
        <v>163.19999999999999</v>
      </c>
      <c r="AE305">
        <v>2132.4</v>
      </c>
      <c r="AF305">
        <v>321.10000000000002</v>
      </c>
      <c r="AG305">
        <v>492.40000000000003</v>
      </c>
      <c r="AH305">
        <v>321.3</v>
      </c>
      <c r="AI305">
        <v>189.7</v>
      </c>
      <c r="AJ305">
        <v>162.5</v>
      </c>
      <c r="AK305">
        <v>170.4</v>
      </c>
      <c r="AL305">
        <v>157.1</v>
      </c>
      <c r="AM305">
        <v>167.2</v>
      </c>
      <c r="AN305">
        <v>162.80000000000001</v>
      </c>
    </row>
    <row r="306" spans="1:40" x14ac:dyDescent="0.25">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c r="AE306">
        <v>2171.8000000000002</v>
      </c>
      <c r="AF306">
        <v>310.79999999999995</v>
      </c>
      <c r="AG306">
        <v>455.3</v>
      </c>
      <c r="AH306">
        <v>312.2</v>
      </c>
      <c r="AI306">
        <v>195.5</v>
      </c>
      <c r="AJ306">
        <v>157.69999999999999</v>
      </c>
      <c r="AK306">
        <v>161.5</v>
      </c>
      <c r="AL306">
        <v>149.5</v>
      </c>
      <c r="AM306">
        <v>160.30000000000001</v>
      </c>
      <c r="AN306">
        <v>155</v>
      </c>
    </row>
    <row r="307" spans="1:40" x14ac:dyDescent="0.25">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c r="AE307">
        <v>2147</v>
      </c>
      <c r="AF307">
        <v>315.39999999999998</v>
      </c>
      <c r="AG307">
        <v>477.29999999999995</v>
      </c>
      <c r="AH307">
        <v>317.3</v>
      </c>
      <c r="AI307">
        <v>191.2</v>
      </c>
      <c r="AJ307">
        <v>160.69999999999999</v>
      </c>
      <c r="AK307">
        <v>167</v>
      </c>
      <c r="AL307">
        <v>153.1</v>
      </c>
      <c r="AM307">
        <v>163.19999999999999</v>
      </c>
      <c r="AN307">
        <v>159</v>
      </c>
    </row>
    <row r="308" spans="1:40" x14ac:dyDescent="0.25">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v>161.5</v>
      </c>
      <c r="V308">
        <v>163.1</v>
      </c>
      <c r="W308">
        <v>160.9</v>
      </c>
      <c r="X308">
        <v>171.1</v>
      </c>
      <c r="Y308">
        <v>157.69999999999999</v>
      </c>
      <c r="Z308">
        <v>161.1</v>
      </c>
      <c r="AA308">
        <v>167.5</v>
      </c>
      <c r="AB308">
        <v>160.30000000000001</v>
      </c>
      <c r="AC308">
        <v>163.30000000000001</v>
      </c>
      <c r="AD308">
        <v>163.6</v>
      </c>
      <c r="AE308">
        <v>2130.8000000000002</v>
      </c>
      <c r="AF308">
        <v>321.39999999999998</v>
      </c>
      <c r="AG308">
        <v>495.90000000000003</v>
      </c>
      <c r="AH308">
        <v>322.39999999999998</v>
      </c>
      <c r="AI308">
        <v>190.2</v>
      </c>
      <c r="AJ308">
        <v>163.1</v>
      </c>
      <c r="AK308">
        <v>171.1</v>
      </c>
      <c r="AL308">
        <v>157.69999999999999</v>
      </c>
      <c r="AM308">
        <v>167.5</v>
      </c>
      <c r="AN308">
        <v>163.30000000000001</v>
      </c>
    </row>
    <row r="309" spans="1:40" x14ac:dyDescent="0.25">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c r="AE309">
        <v>2157.9</v>
      </c>
      <c r="AF309">
        <v>313.29999999999995</v>
      </c>
      <c r="AG309">
        <v>460.7</v>
      </c>
      <c r="AH309">
        <v>315.29999999999995</v>
      </c>
      <c r="AI309">
        <v>196.5</v>
      </c>
      <c r="AJ309">
        <v>160.69999999999999</v>
      </c>
      <c r="AK309">
        <v>162.80000000000001</v>
      </c>
      <c r="AL309">
        <v>150.4</v>
      </c>
      <c r="AM309">
        <v>160.4</v>
      </c>
      <c r="AN309">
        <v>156</v>
      </c>
    </row>
    <row r="310" spans="1:40" x14ac:dyDescent="0.25">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c r="AE310">
        <v>2142</v>
      </c>
      <c r="AF310">
        <v>317.60000000000002</v>
      </c>
      <c r="AG310">
        <v>483</v>
      </c>
      <c r="AH310">
        <v>319.60000000000002</v>
      </c>
      <c r="AI310">
        <v>192.1</v>
      </c>
      <c r="AJ310">
        <v>162.6</v>
      </c>
      <c r="AK310">
        <v>168.4</v>
      </c>
      <c r="AL310">
        <v>154</v>
      </c>
      <c r="AM310">
        <v>163.80000000000001</v>
      </c>
      <c r="AN310">
        <v>160</v>
      </c>
    </row>
    <row r="311" spans="1:40" x14ac:dyDescent="0.25">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v>162.1</v>
      </c>
      <c r="V311">
        <v>163.69999999999999</v>
      </c>
      <c r="W311">
        <v>161.30000000000001</v>
      </c>
      <c r="X311">
        <v>171.9</v>
      </c>
      <c r="Y311">
        <v>157.80000000000001</v>
      </c>
      <c r="Z311">
        <v>162.69999999999999</v>
      </c>
      <c r="AA311">
        <v>168.5</v>
      </c>
      <c r="AB311">
        <v>160.19999999999999</v>
      </c>
      <c r="AC311">
        <v>163.80000000000001</v>
      </c>
      <c r="AD311">
        <v>164</v>
      </c>
      <c r="AE311">
        <v>2133.6</v>
      </c>
      <c r="AF311">
        <v>322.89999999999998</v>
      </c>
      <c r="AG311">
        <v>498.4</v>
      </c>
      <c r="AH311">
        <v>323.39999999999998</v>
      </c>
      <c r="AI311">
        <v>190.5</v>
      </c>
      <c r="AJ311">
        <v>163.69999999999999</v>
      </c>
      <c r="AK311">
        <v>171.9</v>
      </c>
      <c r="AL311">
        <v>157.80000000000001</v>
      </c>
      <c r="AM311">
        <v>168.5</v>
      </c>
      <c r="AN311">
        <v>163.80000000000001</v>
      </c>
    </row>
    <row r="312" spans="1:40" x14ac:dyDescent="0.25">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c r="AE312">
        <v>2157.9</v>
      </c>
      <c r="AF312">
        <v>313.5</v>
      </c>
      <c r="AG312">
        <v>460.79999999999995</v>
      </c>
      <c r="AH312">
        <v>315.39999999999998</v>
      </c>
      <c r="AI312">
        <v>196.5</v>
      </c>
      <c r="AJ312">
        <v>160.80000000000001</v>
      </c>
      <c r="AK312">
        <v>162.80000000000001</v>
      </c>
      <c r="AL312">
        <v>150.5</v>
      </c>
      <c r="AM312">
        <v>160.30000000000001</v>
      </c>
      <c r="AN312">
        <v>156</v>
      </c>
    </row>
    <row r="313" spans="1:40" x14ac:dyDescent="0.25">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c r="AE313">
        <v>2142</v>
      </c>
      <c r="AF313">
        <v>317.7</v>
      </c>
      <c r="AG313">
        <v>483.2</v>
      </c>
      <c r="AH313">
        <v>319.60000000000002</v>
      </c>
      <c r="AI313">
        <v>192.1</v>
      </c>
      <c r="AJ313">
        <v>162.6</v>
      </c>
      <c r="AK313">
        <v>168.4</v>
      </c>
      <c r="AL313">
        <v>154</v>
      </c>
      <c r="AM313">
        <v>163.69999999999999</v>
      </c>
      <c r="AN313">
        <v>160</v>
      </c>
    </row>
    <row r="314" spans="1:40" x14ac:dyDescent="0.25">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v>162.1</v>
      </c>
      <c r="V314">
        <v>165.5</v>
      </c>
      <c r="W314">
        <v>162</v>
      </c>
      <c r="X314">
        <v>172.5</v>
      </c>
      <c r="Y314">
        <v>159.5</v>
      </c>
      <c r="Z314">
        <v>163.19999999999999</v>
      </c>
      <c r="AA314">
        <v>169</v>
      </c>
      <c r="AB314">
        <v>161.1</v>
      </c>
      <c r="AC314">
        <v>164.7</v>
      </c>
      <c r="AD314">
        <v>166.3</v>
      </c>
      <c r="AE314">
        <v>2164.1999999999998</v>
      </c>
      <c r="AF314">
        <v>324.29999999999995</v>
      </c>
      <c r="AG314">
        <v>502.00000000000006</v>
      </c>
      <c r="AH314">
        <v>324.10000000000002</v>
      </c>
      <c r="AI314">
        <v>191.2</v>
      </c>
      <c r="AJ314">
        <v>165.5</v>
      </c>
      <c r="AK314">
        <v>172.5</v>
      </c>
      <c r="AL314">
        <v>159.5</v>
      </c>
      <c r="AM314">
        <v>169</v>
      </c>
      <c r="AN314">
        <v>164.7</v>
      </c>
    </row>
    <row r="315" spans="1:40" x14ac:dyDescent="0.25">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c r="AE315">
        <v>2198.4000000000005</v>
      </c>
      <c r="AF315">
        <v>315.39999999999998</v>
      </c>
      <c r="AG315">
        <v>463.50000000000006</v>
      </c>
      <c r="AH315">
        <v>317.89999999999998</v>
      </c>
      <c r="AI315">
        <v>197</v>
      </c>
      <c r="AJ315">
        <v>162.19999999999999</v>
      </c>
      <c r="AK315">
        <v>163.5</v>
      </c>
      <c r="AL315">
        <v>152.19999999999999</v>
      </c>
      <c r="AM315">
        <v>160.30000000000001</v>
      </c>
      <c r="AN315">
        <v>157</v>
      </c>
    </row>
    <row r="316" spans="1:40" x14ac:dyDescent="0.25">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c r="AE316">
        <v>2175.5</v>
      </c>
      <c r="AF316">
        <v>319.39999999999998</v>
      </c>
      <c r="AG316">
        <v>486.3</v>
      </c>
      <c r="AH316">
        <v>322</v>
      </c>
      <c r="AI316">
        <v>192.7</v>
      </c>
      <c r="AJ316">
        <v>164.2</v>
      </c>
      <c r="AK316">
        <v>169.1</v>
      </c>
      <c r="AL316">
        <v>155.69999999999999</v>
      </c>
      <c r="AM316">
        <v>163.9</v>
      </c>
      <c r="AN316">
        <v>161</v>
      </c>
    </row>
    <row r="317" spans="1:40" x14ac:dyDescent="0.25">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v>163.6</v>
      </c>
      <c r="V317">
        <v>165.3</v>
      </c>
      <c r="W317">
        <v>162.9</v>
      </c>
      <c r="X317">
        <v>173.4</v>
      </c>
      <c r="Y317">
        <v>158.9</v>
      </c>
      <c r="Z317">
        <v>163.80000000000001</v>
      </c>
      <c r="AA317">
        <v>169.3</v>
      </c>
      <c r="AB317">
        <v>162.4</v>
      </c>
      <c r="AC317">
        <v>165.2</v>
      </c>
      <c r="AD317">
        <v>167.6</v>
      </c>
      <c r="AE317">
        <v>2182</v>
      </c>
      <c r="AF317">
        <v>326.20000000000005</v>
      </c>
      <c r="AG317">
        <v>506.2</v>
      </c>
      <c r="AH317">
        <v>326.5</v>
      </c>
      <c r="AI317">
        <v>191.4</v>
      </c>
      <c r="AJ317">
        <v>165.3</v>
      </c>
      <c r="AK317">
        <v>173.4</v>
      </c>
      <c r="AL317">
        <v>158.9</v>
      </c>
      <c r="AM317">
        <v>169.3</v>
      </c>
      <c r="AN317">
        <v>165.2</v>
      </c>
    </row>
    <row r="318" spans="1:40" x14ac:dyDescent="0.25">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c r="AE318">
        <v>2217.8999999999996</v>
      </c>
      <c r="AF318">
        <v>318.5</v>
      </c>
      <c r="AG318">
        <v>467.3</v>
      </c>
      <c r="AH318">
        <v>319.39999999999998</v>
      </c>
      <c r="AI318">
        <v>197</v>
      </c>
      <c r="AJ318">
        <v>161.6</v>
      </c>
      <c r="AK318">
        <v>164.2</v>
      </c>
      <c r="AL318">
        <v>151.19999999999999</v>
      </c>
      <c r="AM318">
        <v>160.80000000000001</v>
      </c>
      <c r="AN318">
        <v>157.30000000000001</v>
      </c>
    </row>
    <row r="319" spans="1:40" x14ac:dyDescent="0.25">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c r="AE319">
        <v>2194.1</v>
      </c>
      <c r="AF319">
        <v>322</v>
      </c>
      <c r="AG319">
        <v>490.40000000000003</v>
      </c>
      <c r="AH319">
        <v>323.5</v>
      </c>
      <c r="AI319">
        <v>192.9</v>
      </c>
      <c r="AJ319">
        <v>163.9</v>
      </c>
      <c r="AK319">
        <v>169.9</v>
      </c>
      <c r="AL319">
        <v>154.80000000000001</v>
      </c>
      <c r="AM319">
        <v>164.3</v>
      </c>
      <c r="AN319">
        <v>161.4</v>
      </c>
    </row>
    <row r="320" spans="1:40" x14ac:dyDescent="0.25">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v>164.1</v>
      </c>
      <c r="V320">
        <v>165.6</v>
      </c>
      <c r="W320">
        <v>163.9</v>
      </c>
      <c r="X320">
        <v>174</v>
      </c>
      <c r="Y320">
        <v>160.1</v>
      </c>
      <c r="Z320">
        <v>164.5</v>
      </c>
      <c r="AA320">
        <v>169.7</v>
      </c>
      <c r="AB320">
        <v>162.80000000000001</v>
      </c>
      <c r="AC320">
        <v>166</v>
      </c>
      <c r="AD320">
        <v>167</v>
      </c>
      <c r="AE320">
        <v>2168.1999999999998</v>
      </c>
      <c r="AF320">
        <v>327.3</v>
      </c>
      <c r="AG320">
        <v>510.3</v>
      </c>
      <c r="AH320">
        <v>328</v>
      </c>
      <c r="AI320">
        <v>190.8</v>
      </c>
      <c r="AJ320">
        <v>165.6</v>
      </c>
      <c r="AK320">
        <v>174</v>
      </c>
      <c r="AL320">
        <v>160.1</v>
      </c>
      <c r="AM320">
        <v>169.7</v>
      </c>
      <c r="AN320">
        <v>166</v>
      </c>
    </row>
    <row r="321" spans="1:40" x14ac:dyDescent="0.25">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c r="AE321">
        <v>2206.3000000000002</v>
      </c>
      <c r="AF321">
        <v>320</v>
      </c>
      <c r="AG321">
        <v>470.7</v>
      </c>
      <c r="AH321">
        <v>319.39999999999998</v>
      </c>
      <c r="AI321">
        <v>196.8</v>
      </c>
      <c r="AJ321">
        <v>161.69999999999999</v>
      </c>
      <c r="AK321">
        <v>165.1</v>
      </c>
      <c r="AL321">
        <v>151.80000000000001</v>
      </c>
      <c r="AM321">
        <v>160.6</v>
      </c>
      <c r="AN321">
        <v>157.80000000000001</v>
      </c>
    </row>
    <row r="322" spans="1:40" x14ac:dyDescent="0.25">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c r="AE322">
        <v>2180.9</v>
      </c>
      <c r="AF322">
        <v>323.2</v>
      </c>
      <c r="AG322">
        <v>494.2</v>
      </c>
      <c r="AH322">
        <v>323.60000000000002</v>
      </c>
      <c r="AI322">
        <v>192.4</v>
      </c>
      <c r="AJ322">
        <v>164.1</v>
      </c>
      <c r="AK322">
        <v>170.6</v>
      </c>
      <c r="AL322">
        <v>155.69999999999999</v>
      </c>
      <c r="AM322">
        <v>164.4</v>
      </c>
      <c r="AN322">
        <v>162</v>
      </c>
    </row>
    <row r="323" spans="1:40" x14ac:dyDescent="0.25">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v>163.9</v>
      </c>
      <c r="V323">
        <v>165.8</v>
      </c>
      <c r="W323">
        <v>164.9</v>
      </c>
      <c r="X323">
        <v>174.7</v>
      </c>
      <c r="Y323">
        <v>160.80000000000001</v>
      </c>
      <c r="Z323">
        <v>164.9</v>
      </c>
      <c r="AA323">
        <v>169.9</v>
      </c>
      <c r="AB323">
        <v>163.19999999999999</v>
      </c>
      <c r="AC323">
        <v>166.6</v>
      </c>
      <c r="AD323">
        <v>166.4</v>
      </c>
      <c r="AE323">
        <v>2153</v>
      </c>
      <c r="AF323">
        <v>328.1</v>
      </c>
      <c r="AG323">
        <v>515.20000000000005</v>
      </c>
      <c r="AH323">
        <v>328.8</v>
      </c>
      <c r="AI323">
        <v>190.7</v>
      </c>
      <c r="AJ323">
        <v>165.8</v>
      </c>
      <c r="AK323">
        <v>174.7</v>
      </c>
      <c r="AL323">
        <v>160.80000000000001</v>
      </c>
      <c r="AM323">
        <v>169.9</v>
      </c>
      <c r="AN323">
        <v>166.6</v>
      </c>
    </row>
    <row r="324" spans="1:40" x14ac:dyDescent="0.25">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c r="AE324">
        <v>2186.6999999999998</v>
      </c>
      <c r="AF324">
        <v>321.20000000000005</v>
      </c>
      <c r="AG324">
        <v>475.4</v>
      </c>
      <c r="AH324">
        <v>321.3</v>
      </c>
      <c r="AI324">
        <v>196.4</v>
      </c>
      <c r="AJ324">
        <v>161.6</v>
      </c>
      <c r="AK324">
        <v>166.1</v>
      </c>
      <c r="AL324">
        <v>152.69999999999999</v>
      </c>
      <c r="AM324">
        <v>161</v>
      </c>
      <c r="AN324">
        <v>158.6</v>
      </c>
    </row>
    <row r="325" spans="1:40" x14ac:dyDescent="0.25">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c r="AE325">
        <v>2164.1999999999998</v>
      </c>
      <c r="AF325">
        <v>324.2</v>
      </c>
      <c r="AG325">
        <v>499.1</v>
      </c>
      <c r="AH325">
        <v>325.60000000000002</v>
      </c>
      <c r="AI325">
        <v>192.2</v>
      </c>
      <c r="AJ325">
        <v>164.2</v>
      </c>
      <c r="AK325">
        <v>171.4</v>
      </c>
      <c r="AL325">
        <v>156.5</v>
      </c>
      <c r="AM325">
        <v>164.7</v>
      </c>
      <c r="AN325">
        <v>162.69999999999999</v>
      </c>
    </row>
    <row r="326" spans="1:40" x14ac:dyDescent="0.25">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v>164.9</v>
      </c>
      <c r="V326">
        <v>167.4</v>
      </c>
      <c r="W326">
        <v>165.7</v>
      </c>
      <c r="X326">
        <v>175.3</v>
      </c>
      <c r="Y326">
        <v>161.19999999999999</v>
      </c>
      <c r="Z326">
        <v>165.5</v>
      </c>
      <c r="AA326">
        <v>170.3</v>
      </c>
      <c r="AB326">
        <v>164.5</v>
      </c>
      <c r="AC326">
        <v>167.3</v>
      </c>
      <c r="AD326">
        <v>166.7</v>
      </c>
      <c r="AE326">
        <v>2150.4</v>
      </c>
      <c r="AF326">
        <v>330</v>
      </c>
      <c r="AG326">
        <v>518.79999999999995</v>
      </c>
      <c r="AH326">
        <v>330.6</v>
      </c>
      <c r="AI326">
        <v>191.5</v>
      </c>
      <c r="AJ326">
        <v>167.4</v>
      </c>
      <c r="AK326">
        <v>175.3</v>
      </c>
      <c r="AL326">
        <v>161.19999999999999</v>
      </c>
      <c r="AM326">
        <v>170.3</v>
      </c>
      <c r="AN326">
        <v>167.3</v>
      </c>
    </row>
    <row r="327" spans="1:40" x14ac:dyDescent="0.25">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c r="AE327">
        <v>2183.5</v>
      </c>
      <c r="AF327">
        <v>323.7</v>
      </c>
      <c r="AG327">
        <v>479.5</v>
      </c>
      <c r="AH327">
        <v>322.89999999999998</v>
      </c>
      <c r="AI327">
        <v>196.5</v>
      </c>
      <c r="AJ327">
        <v>163</v>
      </c>
      <c r="AK327">
        <v>167.2</v>
      </c>
      <c r="AL327">
        <v>153.1</v>
      </c>
      <c r="AM327">
        <v>162</v>
      </c>
      <c r="AN327">
        <v>159.4</v>
      </c>
    </row>
    <row r="328" spans="1:40" x14ac:dyDescent="0.25">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c r="AE328">
        <v>2161.2000000000003</v>
      </c>
      <c r="AF328">
        <v>326.5</v>
      </c>
      <c r="AG328">
        <v>502.80000000000007</v>
      </c>
      <c r="AH328">
        <v>327.3</v>
      </c>
      <c r="AI328">
        <v>192.8</v>
      </c>
      <c r="AJ328">
        <v>165.7</v>
      </c>
      <c r="AK328">
        <v>172.2</v>
      </c>
      <c r="AL328">
        <v>156.9</v>
      </c>
      <c r="AM328">
        <v>165.4</v>
      </c>
      <c r="AN328">
        <v>163.5</v>
      </c>
    </row>
    <row r="329" spans="1:40" x14ac:dyDescent="0.25">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v>165.1</v>
      </c>
      <c r="V329">
        <v>168.9</v>
      </c>
      <c r="W329">
        <v>166.5</v>
      </c>
      <c r="X329">
        <v>176</v>
      </c>
      <c r="Y329">
        <v>162</v>
      </c>
      <c r="Z329">
        <v>166.6</v>
      </c>
      <c r="AA329">
        <v>170.6</v>
      </c>
      <c r="AB329">
        <v>167.4</v>
      </c>
      <c r="AC329">
        <v>168.3</v>
      </c>
      <c r="AD329">
        <v>168.7</v>
      </c>
      <c r="AE329">
        <v>2179.1000000000004</v>
      </c>
      <c r="AF329">
        <v>334</v>
      </c>
      <c r="AG329">
        <v>523.70000000000005</v>
      </c>
      <c r="AH329">
        <v>331.6</v>
      </c>
      <c r="AI329">
        <v>192.3</v>
      </c>
      <c r="AJ329">
        <v>168.9</v>
      </c>
      <c r="AK329">
        <v>176</v>
      </c>
      <c r="AL329">
        <v>162</v>
      </c>
      <c r="AM329">
        <v>170.6</v>
      </c>
      <c r="AN329">
        <v>168.3</v>
      </c>
    </row>
    <row r="330" spans="1:40" x14ac:dyDescent="0.25">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c r="AE330">
        <v>2196.3000000000002</v>
      </c>
      <c r="AF330">
        <v>327.60000000000002</v>
      </c>
      <c r="AG330">
        <v>484.6</v>
      </c>
      <c r="AH330">
        <v>323.89999999999998</v>
      </c>
      <c r="AI330">
        <v>197.5</v>
      </c>
      <c r="AJ330">
        <v>164.5</v>
      </c>
      <c r="AK330">
        <v>168.2</v>
      </c>
      <c r="AL330">
        <v>154.19999999999999</v>
      </c>
      <c r="AM330">
        <v>162.69999999999999</v>
      </c>
      <c r="AN330">
        <v>160.6</v>
      </c>
    </row>
    <row r="331" spans="1:40" x14ac:dyDescent="0.25">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c r="AE331">
        <v>2184.2000000000003</v>
      </c>
      <c r="AF331">
        <v>330.5</v>
      </c>
      <c r="AG331">
        <v>507.79999999999995</v>
      </c>
      <c r="AH331">
        <v>328.1</v>
      </c>
      <c r="AI331">
        <v>193.7</v>
      </c>
      <c r="AJ331">
        <v>167.2</v>
      </c>
      <c r="AK331">
        <v>173</v>
      </c>
      <c r="AL331">
        <v>157.9</v>
      </c>
      <c r="AM331">
        <v>166</v>
      </c>
      <c r="AN331">
        <v>164.6</v>
      </c>
    </row>
    <row r="332" spans="1:40" x14ac:dyDescent="0.25">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v>166.1</v>
      </c>
      <c r="V332">
        <v>173.3</v>
      </c>
      <c r="W332">
        <v>167.7</v>
      </c>
      <c r="X332">
        <v>177</v>
      </c>
      <c r="Y332">
        <v>166.2</v>
      </c>
      <c r="Z332">
        <v>167.2</v>
      </c>
      <c r="AA332">
        <v>170.9</v>
      </c>
      <c r="AB332">
        <v>169</v>
      </c>
      <c r="AC332">
        <v>170.2</v>
      </c>
      <c r="AD332">
        <v>170.8</v>
      </c>
      <c r="AE332">
        <v>2206.6</v>
      </c>
      <c r="AF332">
        <v>336.2</v>
      </c>
      <c r="AG332">
        <v>529.70000000000005</v>
      </c>
      <c r="AH332">
        <v>333.79999999999995</v>
      </c>
      <c r="AI332">
        <v>192.8</v>
      </c>
      <c r="AJ332">
        <v>173.3</v>
      </c>
      <c r="AK332">
        <v>177</v>
      </c>
      <c r="AL332">
        <v>166.2</v>
      </c>
      <c r="AM332">
        <v>170.9</v>
      </c>
      <c r="AN332">
        <v>170.2</v>
      </c>
    </row>
    <row r="333" spans="1:40" x14ac:dyDescent="0.25">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c r="AE333">
        <v>2230.4</v>
      </c>
      <c r="AF333">
        <v>330.6</v>
      </c>
      <c r="AG333">
        <v>489.2</v>
      </c>
      <c r="AH333">
        <v>326.8</v>
      </c>
      <c r="AI333">
        <v>197.1</v>
      </c>
      <c r="AJ333">
        <v>170.5</v>
      </c>
      <c r="AK333">
        <v>169</v>
      </c>
      <c r="AL333">
        <v>159.30000000000001</v>
      </c>
      <c r="AM333">
        <v>164</v>
      </c>
      <c r="AN333">
        <v>163.1</v>
      </c>
    </row>
    <row r="334" spans="1:40" x14ac:dyDescent="0.25">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c r="AE334">
        <v>2214.3000000000002</v>
      </c>
      <c r="AF334">
        <v>333.20000000000005</v>
      </c>
      <c r="AG334">
        <v>513.20000000000005</v>
      </c>
      <c r="AH334">
        <v>331</v>
      </c>
      <c r="AI334">
        <v>193.9</v>
      </c>
      <c r="AJ334">
        <v>172.2</v>
      </c>
      <c r="AK334">
        <v>174</v>
      </c>
      <c r="AL334">
        <v>162.6</v>
      </c>
      <c r="AM334">
        <v>166.9</v>
      </c>
      <c r="AN334">
        <v>166.8</v>
      </c>
    </row>
    <row r="335" spans="1:40" x14ac:dyDescent="0.25">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v>167</v>
      </c>
      <c r="V335">
        <v>175.3</v>
      </c>
      <c r="W335">
        <v>168.9</v>
      </c>
      <c r="X335">
        <v>177.7</v>
      </c>
      <c r="Y335">
        <v>167.1</v>
      </c>
      <c r="Z335">
        <v>167.6</v>
      </c>
      <c r="AA335">
        <v>171.8</v>
      </c>
      <c r="AB335">
        <v>168.5</v>
      </c>
      <c r="AC335">
        <v>170.9</v>
      </c>
      <c r="AD335">
        <v>172.5</v>
      </c>
      <c r="AE335">
        <v>2226.8000000000002</v>
      </c>
      <c r="AF335">
        <v>336.1</v>
      </c>
      <c r="AG335">
        <v>535.5</v>
      </c>
      <c r="AH335">
        <v>335.9</v>
      </c>
      <c r="AI335">
        <v>192.9</v>
      </c>
      <c r="AJ335">
        <v>175.3</v>
      </c>
      <c r="AK335">
        <v>177.7</v>
      </c>
      <c r="AL335">
        <v>167.1</v>
      </c>
      <c r="AM335">
        <v>171.8</v>
      </c>
      <c r="AN335">
        <v>170.9</v>
      </c>
    </row>
    <row r="336" spans="1:40" x14ac:dyDescent="0.25">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c r="AE336">
        <v>2262.2000000000003</v>
      </c>
      <c r="AF336">
        <v>331.4</v>
      </c>
      <c r="AG336">
        <v>493.7</v>
      </c>
      <c r="AH336">
        <v>328.6</v>
      </c>
      <c r="AI336">
        <v>197.5</v>
      </c>
      <c r="AJ336">
        <v>173.5</v>
      </c>
      <c r="AK336">
        <v>170.1</v>
      </c>
      <c r="AL336">
        <v>159.4</v>
      </c>
      <c r="AM336">
        <v>165.2</v>
      </c>
      <c r="AN336">
        <v>163.80000000000001</v>
      </c>
    </row>
    <row r="337" spans="1:40" x14ac:dyDescent="0.25">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c r="AE337">
        <v>2238.9000000000005</v>
      </c>
      <c r="AF337">
        <v>333.5</v>
      </c>
      <c r="AG337">
        <v>518.6</v>
      </c>
      <c r="AH337">
        <v>332.7</v>
      </c>
      <c r="AI337">
        <v>194.1</v>
      </c>
      <c r="AJ337">
        <v>174.6</v>
      </c>
      <c r="AK337">
        <v>174.8</v>
      </c>
      <c r="AL337">
        <v>163</v>
      </c>
      <c r="AM337">
        <v>167.9</v>
      </c>
      <c r="AN337">
        <v>167.5</v>
      </c>
    </row>
    <row r="338" spans="1:40" x14ac:dyDescent="0.25">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v>167.1</v>
      </c>
      <c r="V338">
        <v>176.7</v>
      </c>
      <c r="W338">
        <v>170.3</v>
      </c>
      <c r="X338">
        <v>178.2</v>
      </c>
      <c r="Y338">
        <v>165.5</v>
      </c>
      <c r="Z338">
        <v>168</v>
      </c>
      <c r="AA338">
        <v>172.6</v>
      </c>
      <c r="AB338">
        <v>169.5</v>
      </c>
      <c r="AC338">
        <v>171</v>
      </c>
      <c r="AD338">
        <v>173.6</v>
      </c>
      <c r="AE338">
        <v>2248.3000000000002</v>
      </c>
      <c r="AF338">
        <v>337.5</v>
      </c>
      <c r="AG338">
        <v>539.79999999999995</v>
      </c>
      <c r="AH338">
        <v>337.4</v>
      </c>
      <c r="AI338">
        <v>192.9</v>
      </c>
      <c r="AJ338">
        <v>176.7</v>
      </c>
      <c r="AK338">
        <v>178.2</v>
      </c>
      <c r="AL338">
        <v>165.5</v>
      </c>
      <c r="AM338">
        <v>172.6</v>
      </c>
      <c r="AN338">
        <v>171</v>
      </c>
    </row>
    <row r="339" spans="1:40" x14ac:dyDescent="0.25">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c r="AE339">
        <v>2287.5</v>
      </c>
      <c r="AF339">
        <v>333.29999999999995</v>
      </c>
      <c r="AG339">
        <v>498.4</v>
      </c>
      <c r="AH339">
        <v>328.9</v>
      </c>
      <c r="AI339">
        <v>198.3</v>
      </c>
      <c r="AJ339">
        <v>174.9</v>
      </c>
      <c r="AK339">
        <v>170.9</v>
      </c>
      <c r="AL339">
        <v>157.19999999999999</v>
      </c>
      <c r="AM339">
        <v>166.5</v>
      </c>
      <c r="AN339">
        <v>163.80000000000001</v>
      </c>
    </row>
    <row r="340" spans="1:40" x14ac:dyDescent="0.25">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c r="AE340">
        <v>2261.9</v>
      </c>
      <c r="AF340">
        <v>335.20000000000005</v>
      </c>
      <c r="AG340">
        <v>523</v>
      </c>
      <c r="AH340">
        <v>333.20000000000005</v>
      </c>
      <c r="AI340">
        <v>194.3</v>
      </c>
      <c r="AJ340">
        <v>176</v>
      </c>
      <c r="AK340">
        <v>175.4</v>
      </c>
      <c r="AL340">
        <v>161.1</v>
      </c>
      <c r="AM340">
        <v>169</v>
      </c>
      <c r="AN340">
        <v>167.5</v>
      </c>
    </row>
    <row r="341" spans="1:40" x14ac:dyDescent="0.25">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v>167</v>
      </c>
      <c r="V341">
        <v>179.6</v>
      </c>
      <c r="W341">
        <v>171.3</v>
      </c>
      <c r="X341">
        <v>178.8</v>
      </c>
      <c r="Y341">
        <v>166.3</v>
      </c>
      <c r="Z341">
        <v>168.6</v>
      </c>
      <c r="AA341">
        <v>174.7</v>
      </c>
      <c r="AB341">
        <v>169.7</v>
      </c>
      <c r="AC341">
        <v>171.8</v>
      </c>
      <c r="AD341">
        <v>174.3</v>
      </c>
      <c r="AE341">
        <v>2252.5</v>
      </c>
      <c r="AF341">
        <v>338.29999999999995</v>
      </c>
      <c r="AG341">
        <v>544</v>
      </c>
      <c r="AH341">
        <v>338.3</v>
      </c>
      <c r="AI341">
        <v>193.2</v>
      </c>
      <c r="AJ341">
        <v>179.6</v>
      </c>
      <c r="AK341">
        <v>178.8</v>
      </c>
      <c r="AL341">
        <v>166.3</v>
      </c>
      <c r="AM341">
        <v>174.7</v>
      </c>
      <c r="AN341">
        <v>171.8</v>
      </c>
    </row>
    <row r="342" spans="1:40" x14ac:dyDescent="0.25">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c r="AE342">
        <v>2291.6</v>
      </c>
      <c r="AF342">
        <v>334.4</v>
      </c>
      <c r="AG342">
        <v>502</v>
      </c>
      <c r="AH342">
        <v>330.9</v>
      </c>
      <c r="AI342">
        <v>198.6</v>
      </c>
      <c r="AJ342">
        <v>179.5</v>
      </c>
      <c r="AK342">
        <v>171.7</v>
      </c>
      <c r="AL342">
        <v>157.4</v>
      </c>
      <c r="AM342">
        <v>169.1</v>
      </c>
      <c r="AN342">
        <v>164.7</v>
      </c>
    </row>
    <row r="343" spans="1:40" x14ac:dyDescent="0.25">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c r="AE343">
        <v>2266.3000000000002</v>
      </c>
      <c r="AF343">
        <v>336</v>
      </c>
      <c r="AG343">
        <v>526.90000000000009</v>
      </c>
      <c r="AH343">
        <v>335.20000000000005</v>
      </c>
      <c r="AI343">
        <v>194.6</v>
      </c>
      <c r="AJ343">
        <v>179.6</v>
      </c>
      <c r="AK343">
        <v>176.1</v>
      </c>
      <c r="AL343">
        <v>161.6</v>
      </c>
      <c r="AM343">
        <v>171.4</v>
      </c>
      <c r="AN343">
        <v>168.4</v>
      </c>
    </row>
    <row r="344" spans="1:40" x14ac:dyDescent="0.25">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v>167.9</v>
      </c>
      <c r="V344">
        <v>179.1</v>
      </c>
      <c r="W344">
        <v>172.3</v>
      </c>
      <c r="X344">
        <v>179.4</v>
      </c>
      <c r="Y344">
        <v>166.6</v>
      </c>
      <c r="Z344">
        <v>169.3</v>
      </c>
      <c r="AA344">
        <v>175.7</v>
      </c>
      <c r="AB344">
        <v>171.1</v>
      </c>
      <c r="AC344">
        <v>172.6</v>
      </c>
      <c r="AD344">
        <v>175.3</v>
      </c>
      <c r="AE344">
        <v>2255.7999999999997</v>
      </c>
      <c r="AF344">
        <v>340.4</v>
      </c>
      <c r="AG344">
        <v>547.9</v>
      </c>
      <c r="AH344">
        <v>340.20000000000005</v>
      </c>
      <c r="AI344">
        <v>193.7</v>
      </c>
      <c r="AJ344">
        <v>179.1</v>
      </c>
      <c r="AK344">
        <v>179.4</v>
      </c>
      <c r="AL344">
        <v>166.6</v>
      </c>
      <c r="AM344">
        <v>175.7</v>
      </c>
      <c r="AN344">
        <v>172.6</v>
      </c>
    </row>
    <row r="345" spans="1:40" x14ac:dyDescent="0.25">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c r="AE345">
        <v>2293.6999999999998</v>
      </c>
      <c r="AF345">
        <v>336.5</v>
      </c>
      <c r="AG345">
        <v>505.29999999999995</v>
      </c>
      <c r="AH345">
        <v>333.2</v>
      </c>
      <c r="AI345">
        <v>198.7</v>
      </c>
      <c r="AJ345">
        <v>178.4</v>
      </c>
      <c r="AK345">
        <v>172.6</v>
      </c>
      <c r="AL345">
        <v>157.69999999999999</v>
      </c>
      <c r="AM345">
        <v>169.9</v>
      </c>
      <c r="AN345">
        <v>165.4</v>
      </c>
    </row>
    <row r="346" spans="1:40" x14ac:dyDescent="0.25">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c r="AE346">
        <v>2269.2000000000003</v>
      </c>
      <c r="AF346">
        <v>338.1</v>
      </c>
      <c r="AG346">
        <v>530.70000000000005</v>
      </c>
      <c r="AH346">
        <v>337.5</v>
      </c>
      <c r="AI346">
        <v>195</v>
      </c>
      <c r="AJ346">
        <v>178.8</v>
      </c>
      <c r="AK346">
        <v>176.8</v>
      </c>
      <c r="AL346">
        <v>161.9</v>
      </c>
      <c r="AM346">
        <v>172.3</v>
      </c>
      <c r="AN346">
        <v>169.1</v>
      </c>
    </row>
    <row r="347" spans="1:40" x14ac:dyDescent="0.25">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v>169.2</v>
      </c>
      <c r="V347">
        <v>179.7</v>
      </c>
      <c r="W347">
        <v>173.6</v>
      </c>
      <c r="X347">
        <v>180.2</v>
      </c>
      <c r="Y347">
        <v>166.9</v>
      </c>
      <c r="Z347">
        <v>170</v>
      </c>
      <c r="AA347">
        <v>176.2</v>
      </c>
      <c r="AB347">
        <v>170.8</v>
      </c>
      <c r="AC347">
        <v>173.1</v>
      </c>
      <c r="AD347">
        <v>176.4</v>
      </c>
      <c r="AE347">
        <v>2267.8000000000002</v>
      </c>
      <c r="AF347">
        <v>340.8</v>
      </c>
      <c r="AG347">
        <v>552.5</v>
      </c>
      <c r="AH347">
        <v>342.79999999999995</v>
      </c>
      <c r="AI347">
        <v>194.5</v>
      </c>
      <c r="AJ347">
        <v>179.7</v>
      </c>
      <c r="AK347">
        <v>180.2</v>
      </c>
      <c r="AL347">
        <v>166.9</v>
      </c>
      <c r="AM347">
        <v>176.2</v>
      </c>
      <c r="AN347">
        <v>173.1</v>
      </c>
    </row>
    <row r="348" spans="1:40" x14ac:dyDescent="0.25">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c r="AE348">
        <v>2306.4</v>
      </c>
      <c r="AF348">
        <v>336.9</v>
      </c>
      <c r="AG348">
        <v>509.7</v>
      </c>
      <c r="AH348">
        <v>334.5</v>
      </c>
      <c r="AI348">
        <v>199.7</v>
      </c>
      <c r="AJ348">
        <v>179.2</v>
      </c>
      <c r="AK348">
        <v>173.8</v>
      </c>
      <c r="AL348">
        <v>158.19999999999999</v>
      </c>
      <c r="AM348">
        <v>170.9</v>
      </c>
      <c r="AN348">
        <v>166.1</v>
      </c>
    </row>
    <row r="349" spans="1:40" x14ac:dyDescent="0.25">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c r="AE349">
        <v>2280.9</v>
      </c>
      <c r="AF349">
        <v>338.5</v>
      </c>
      <c r="AG349">
        <v>535.1</v>
      </c>
      <c r="AH349">
        <v>339</v>
      </c>
      <c r="AI349">
        <v>195.9</v>
      </c>
      <c r="AJ349">
        <v>179.5</v>
      </c>
      <c r="AK349">
        <v>177.8</v>
      </c>
      <c r="AL349">
        <v>162.30000000000001</v>
      </c>
      <c r="AM349">
        <v>173.1</v>
      </c>
      <c r="AN349">
        <v>169.7</v>
      </c>
    </row>
    <row r="350" spans="1:40" x14ac:dyDescent="0.25">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v>170</v>
      </c>
      <c r="V350">
        <v>180.8</v>
      </c>
      <c r="W350">
        <v>174.4</v>
      </c>
      <c r="X350">
        <v>181.2</v>
      </c>
      <c r="Y350">
        <v>167.4</v>
      </c>
      <c r="Z350">
        <v>170.6</v>
      </c>
      <c r="AA350">
        <v>176.5</v>
      </c>
      <c r="AB350">
        <v>172</v>
      </c>
      <c r="AC350">
        <v>173.9</v>
      </c>
      <c r="AD350">
        <v>177.9</v>
      </c>
      <c r="AE350">
        <v>2284.5</v>
      </c>
      <c r="AF350">
        <v>342.6</v>
      </c>
      <c r="AG350">
        <v>556.4</v>
      </c>
      <c r="AH350">
        <v>344.4</v>
      </c>
      <c r="AI350">
        <v>194.9</v>
      </c>
      <c r="AJ350">
        <v>180.8</v>
      </c>
      <c r="AK350">
        <v>181.2</v>
      </c>
      <c r="AL350">
        <v>167.4</v>
      </c>
      <c r="AM350">
        <v>176.5</v>
      </c>
      <c r="AN350">
        <v>173.9</v>
      </c>
    </row>
    <row r="351" spans="1:40" x14ac:dyDescent="0.25">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c r="AE351">
        <v>2322.3000000000002</v>
      </c>
      <c r="AF351">
        <v>338.6</v>
      </c>
      <c r="AG351">
        <v>511.70000000000005</v>
      </c>
      <c r="AH351">
        <v>337.2</v>
      </c>
      <c r="AI351">
        <v>200.1</v>
      </c>
      <c r="AJ351">
        <v>180</v>
      </c>
      <c r="AK351">
        <v>174.7</v>
      </c>
      <c r="AL351">
        <v>158.80000000000001</v>
      </c>
      <c r="AM351">
        <v>171.2</v>
      </c>
      <c r="AN351">
        <v>166.8</v>
      </c>
    </row>
    <row r="352" spans="1:40" x14ac:dyDescent="0.25">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c r="AE352">
        <v>2297.3000000000002</v>
      </c>
      <c r="AF352">
        <v>340.29999999999995</v>
      </c>
      <c r="AG352">
        <v>538.20000000000005</v>
      </c>
      <c r="AH352">
        <v>341.6</v>
      </c>
      <c r="AI352">
        <v>196.3</v>
      </c>
      <c r="AJ352">
        <v>180.5</v>
      </c>
      <c r="AK352">
        <v>178.7</v>
      </c>
      <c r="AL352">
        <v>162.9</v>
      </c>
      <c r="AM352">
        <v>173.4</v>
      </c>
      <c r="AN352">
        <v>170.5</v>
      </c>
    </row>
    <row r="353" spans="1:40" x14ac:dyDescent="0.25">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v>171.5</v>
      </c>
      <c r="V353">
        <v>181.9</v>
      </c>
      <c r="W353">
        <v>175.5</v>
      </c>
      <c r="X353">
        <v>182.3</v>
      </c>
      <c r="Y353">
        <v>167.5</v>
      </c>
      <c r="Z353">
        <v>170.8</v>
      </c>
      <c r="AA353">
        <v>176.9</v>
      </c>
      <c r="AB353">
        <v>173.4</v>
      </c>
      <c r="AC353">
        <v>174.6</v>
      </c>
      <c r="AD353">
        <v>177.8</v>
      </c>
      <c r="AE353">
        <v>2287.6999999999998</v>
      </c>
      <c r="AF353">
        <v>344.20000000000005</v>
      </c>
      <c r="AG353">
        <v>559.29999999999995</v>
      </c>
      <c r="AH353">
        <v>347</v>
      </c>
      <c r="AI353">
        <v>195.5</v>
      </c>
      <c r="AJ353">
        <v>181.9</v>
      </c>
      <c r="AK353">
        <v>182.3</v>
      </c>
      <c r="AL353">
        <v>167.5</v>
      </c>
      <c r="AM353">
        <v>176.9</v>
      </c>
      <c r="AN353">
        <v>174.6</v>
      </c>
    </row>
    <row r="354" spans="1:40" x14ac:dyDescent="0.25">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c r="AE354">
        <v>2314.4</v>
      </c>
      <c r="AF354">
        <v>340.5</v>
      </c>
      <c r="AG354">
        <v>514.9</v>
      </c>
      <c r="AH354">
        <v>338.70000000000005</v>
      </c>
      <c r="AI354">
        <v>200.6</v>
      </c>
      <c r="AJ354">
        <v>180.3</v>
      </c>
      <c r="AK354">
        <v>175.8</v>
      </c>
      <c r="AL354">
        <v>158.9</v>
      </c>
      <c r="AM354">
        <v>171.5</v>
      </c>
      <c r="AN354">
        <v>167.4</v>
      </c>
    </row>
    <row r="355" spans="1:40" x14ac:dyDescent="0.25">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c r="AE355">
        <v>2296.8000000000002</v>
      </c>
      <c r="AF355">
        <v>342.1</v>
      </c>
      <c r="AG355">
        <v>541.4</v>
      </c>
      <c r="AH355">
        <v>343.20000000000005</v>
      </c>
      <c r="AI355">
        <v>196.9</v>
      </c>
      <c r="AJ355">
        <v>181.3</v>
      </c>
      <c r="AK355">
        <v>179.8</v>
      </c>
      <c r="AL355">
        <v>163</v>
      </c>
      <c r="AM355">
        <v>173.7</v>
      </c>
      <c r="AN355">
        <v>171.1</v>
      </c>
    </row>
    <row r="356" spans="1:40" x14ac:dyDescent="0.25">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v>171.1</v>
      </c>
      <c r="V356">
        <v>182.8</v>
      </c>
      <c r="W356">
        <v>176.4</v>
      </c>
      <c r="X356">
        <v>183.5</v>
      </c>
      <c r="Y356">
        <v>167.8</v>
      </c>
      <c r="Z356">
        <v>171.2</v>
      </c>
      <c r="AA356">
        <v>177.3</v>
      </c>
      <c r="AB356">
        <v>175.7</v>
      </c>
      <c r="AC356">
        <v>175.5</v>
      </c>
      <c r="AD356">
        <v>177.1</v>
      </c>
      <c r="AE356">
        <v>2277.1</v>
      </c>
      <c r="AF356">
        <v>346.9</v>
      </c>
      <c r="AG356">
        <v>561.79999999999995</v>
      </c>
      <c r="AH356">
        <v>347.5</v>
      </c>
      <c r="AI356">
        <v>195.9</v>
      </c>
      <c r="AJ356">
        <v>182.8</v>
      </c>
      <c r="AK356">
        <v>183.5</v>
      </c>
      <c r="AL356">
        <v>167.8</v>
      </c>
      <c r="AM356">
        <v>177.3</v>
      </c>
      <c r="AN356">
        <v>175.5</v>
      </c>
    </row>
    <row r="357" spans="1:40" x14ac:dyDescent="0.25">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c r="AE357">
        <v>2295.7999999999997</v>
      </c>
      <c r="AF357">
        <v>343.1</v>
      </c>
      <c r="AG357">
        <v>517.9</v>
      </c>
      <c r="AH357">
        <v>338</v>
      </c>
      <c r="AI357">
        <v>201.1</v>
      </c>
      <c r="AJ357">
        <v>180.6</v>
      </c>
      <c r="AK357">
        <v>177.2</v>
      </c>
      <c r="AL357">
        <v>159.4</v>
      </c>
      <c r="AM357">
        <v>171.8</v>
      </c>
      <c r="AN357">
        <v>168.2</v>
      </c>
    </row>
    <row r="358" spans="1:40" x14ac:dyDescent="0.25">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c r="AE358">
        <v>2283.4</v>
      </c>
      <c r="AF358">
        <v>344.70000000000005</v>
      </c>
      <c r="AG358">
        <v>544</v>
      </c>
      <c r="AH358">
        <v>342.79999999999995</v>
      </c>
      <c r="AI358">
        <v>197.3</v>
      </c>
      <c r="AJ358">
        <v>182</v>
      </c>
      <c r="AK358">
        <v>181.1</v>
      </c>
      <c r="AL358">
        <v>163.4</v>
      </c>
      <c r="AM358">
        <v>174.1</v>
      </c>
      <c r="AN358">
        <v>172</v>
      </c>
    </row>
    <row r="359" spans="1:40" x14ac:dyDescent="0.25">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v>171.5</v>
      </c>
      <c r="V359">
        <v>183.2</v>
      </c>
      <c r="W359">
        <v>177.2</v>
      </c>
      <c r="X359">
        <v>184.7</v>
      </c>
      <c r="Y359">
        <v>168.2</v>
      </c>
      <c r="Z359">
        <v>171.8</v>
      </c>
      <c r="AA359">
        <v>177.8</v>
      </c>
      <c r="AB359">
        <v>178.4</v>
      </c>
      <c r="AC359">
        <v>176.5</v>
      </c>
      <c r="AD359">
        <v>177.8</v>
      </c>
      <c r="AE359">
        <v>2283.2000000000003</v>
      </c>
      <c r="AF359">
        <v>350.20000000000005</v>
      </c>
      <c r="AG359">
        <v>563.9</v>
      </c>
      <c r="AH359">
        <v>348.7</v>
      </c>
      <c r="AI359">
        <v>196.9</v>
      </c>
      <c r="AJ359">
        <v>183.2</v>
      </c>
      <c r="AK359">
        <v>184.7</v>
      </c>
      <c r="AL359">
        <v>168.2</v>
      </c>
      <c r="AM359">
        <v>177.8</v>
      </c>
      <c r="AN359">
        <v>176.5</v>
      </c>
    </row>
    <row r="360" spans="1:40" x14ac:dyDescent="0.25">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c r="AE360">
        <v>2310.2000000000003</v>
      </c>
      <c r="AF360">
        <v>346.6</v>
      </c>
      <c r="AG360">
        <v>520.6</v>
      </c>
      <c r="AH360">
        <v>340.1</v>
      </c>
      <c r="AI360">
        <v>201.6</v>
      </c>
      <c r="AJ360">
        <v>180.1</v>
      </c>
      <c r="AK360">
        <v>178.5</v>
      </c>
      <c r="AL360">
        <v>159.5</v>
      </c>
      <c r="AM360">
        <v>171.8</v>
      </c>
      <c r="AN360">
        <v>168.9</v>
      </c>
    </row>
    <row r="361" spans="1:40" x14ac:dyDescent="0.25">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c r="AE361">
        <v>2292.6999999999998</v>
      </c>
      <c r="AF361">
        <v>348.1</v>
      </c>
      <c r="AG361">
        <v>546.29999999999995</v>
      </c>
      <c r="AH361">
        <v>345</v>
      </c>
      <c r="AI361">
        <v>198.2</v>
      </c>
      <c r="AJ361">
        <v>182</v>
      </c>
      <c r="AK361">
        <v>182.3</v>
      </c>
      <c r="AL361">
        <v>163.6</v>
      </c>
      <c r="AM361">
        <v>174.3</v>
      </c>
      <c r="AN361">
        <v>172.8</v>
      </c>
    </row>
    <row r="362" spans="1:40" x14ac:dyDescent="0.25">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v>172.5</v>
      </c>
      <c r="V362">
        <v>181.6</v>
      </c>
      <c r="W362">
        <v>178.6</v>
      </c>
      <c r="X362">
        <v>186.6</v>
      </c>
      <c r="Y362">
        <v>169</v>
      </c>
      <c r="Z362">
        <v>172.8</v>
      </c>
      <c r="AA362">
        <v>178.5</v>
      </c>
      <c r="AB362">
        <v>180.7</v>
      </c>
      <c r="AC362">
        <v>177.9</v>
      </c>
      <c r="AD362">
        <v>178</v>
      </c>
      <c r="AE362">
        <v>2265.6999999999998</v>
      </c>
      <c r="AF362">
        <v>353.5</v>
      </c>
      <c r="AG362">
        <v>566.6</v>
      </c>
      <c r="AH362">
        <v>351.1</v>
      </c>
      <c r="AI362">
        <v>198.3</v>
      </c>
      <c r="AJ362">
        <v>181.6</v>
      </c>
      <c r="AK362">
        <v>186.6</v>
      </c>
      <c r="AL362">
        <v>169</v>
      </c>
      <c r="AM362">
        <v>178.5</v>
      </c>
      <c r="AN362">
        <v>177.9</v>
      </c>
    </row>
    <row r="363" spans="1:40" x14ac:dyDescent="0.25">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c r="AE363">
        <v>2303.1999999999998</v>
      </c>
      <c r="AF363">
        <v>349.8</v>
      </c>
      <c r="AG363">
        <v>525.5</v>
      </c>
      <c r="AH363">
        <v>342.7</v>
      </c>
      <c r="AI363">
        <v>202.7</v>
      </c>
      <c r="AJ363">
        <v>182.8</v>
      </c>
      <c r="AK363">
        <v>180.8</v>
      </c>
      <c r="AL363">
        <v>159.80000000000001</v>
      </c>
      <c r="AM363">
        <v>172.5</v>
      </c>
      <c r="AN363">
        <v>170</v>
      </c>
    </row>
    <row r="364" spans="1:40" x14ac:dyDescent="0.25">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c r="AE364">
        <v>2279.1</v>
      </c>
      <c r="AF364">
        <v>351.3</v>
      </c>
      <c r="AG364">
        <v>550</v>
      </c>
      <c r="AH364">
        <v>347.7</v>
      </c>
      <c r="AI364">
        <v>199.5</v>
      </c>
      <c r="AJ364">
        <v>182.1</v>
      </c>
      <c r="AK364">
        <v>184.4</v>
      </c>
      <c r="AL364">
        <v>164.2</v>
      </c>
      <c r="AM364">
        <v>175</v>
      </c>
      <c r="AN364">
        <v>174.1</v>
      </c>
    </row>
    <row r="365" spans="1:40" x14ac:dyDescent="0.25">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v>173.5</v>
      </c>
      <c r="V365">
        <v>181.4</v>
      </c>
      <c r="W365">
        <v>178.6</v>
      </c>
      <c r="X365">
        <v>186.6</v>
      </c>
      <c r="Y365">
        <v>169</v>
      </c>
      <c r="Z365">
        <v>172.8</v>
      </c>
      <c r="AA365">
        <v>178.5</v>
      </c>
      <c r="AB365">
        <v>180.7</v>
      </c>
      <c r="AC365">
        <v>177.9</v>
      </c>
      <c r="AD365">
        <v>178</v>
      </c>
      <c r="AE365">
        <v>2265.8000000000002</v>
      </c>
      <c r="AF365">
        <v>353.5</v>
      </c>
      <c r="AG365">
        <v>566.6</v>
      </c>
      <c r="AH365">
        <v>352.1</v>
      </c>
      <c r="AI365">
        <v>198.4</v>
      </c>
      <c r="AJ365">
        <v>181.4</v>
      </c>
      <c r="AK365">
        <v>186.6</v>
      </c>
      <c r="AL365">
        <v>169</v>
      </c>
      <c r="AM365">
        <v>178.5</v>
      </c>
      <c r="AN365">
        <v>177.9</v>
      </c>
    </row>
    <row r="366" spans="1:40" x14ac:dyDescent="0.25">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c r="AE366">
        <v>2303.4</v>
      </c>
      <c r="AF366">
        <v>349.9</v>
      </c>
      <c r="AG366">
        <v>525.4</v>
      </c>
      <c r="AH366">
        <v>342.7</v>
      </c>
      <c r="AI366">
        <v>202.7</v>
      </c>
      <c r="AJ366">
        <v>182.6</v>
      </c>
      <c r="AK366">
        <v>180.8</v>
      </c>
      <c r="AL366">
        <v>159.80000000000001</v>
      </c>
      <c r="AM366">
        <v>172.5</v>
      </c>
      <c r="AN366">
        <v>170</v>
      </c>
    </row>
    <row r="367" spans="1:40" x14ac:dyDescent="0.25">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c r="AE367">
        <v>2279.1999999999998</v>
      </c>
      <c r="AF367">
        <v>351.3</v>
      </c>
      <c r="AG367">
        <v>549.9</v>
      </c>
      <c r="AH367">
        <v>347.7</v>
      </c>
      <c r="AI367">
        <v>199.5</v>
      </c>
      <c r="AJ367">
        <v>181.9</v>
      </c>
      <c r="AK367">
        <v>184.4</v>
      </c>
      <c r="AL367">
        <v>164.2</v>
      </c>
      <c r="AM367">
        <v>175</v>
      </c>
      <c r="AN367">
        <v>174.1</v>
      </c>
    </row>
    <row r="368" spans="1:40" x14ac:dyDescent="0.25">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v>174.5</v>
      </c>
      <c r="V368">
        <v>181.5</v>
      </c>
      <c r="W368">
        <v>179.1</v>
      </c>
      <c r="X368">
        <v>187.2</v>
      </c>
      <c r="Y368">
        <v>169.4</v>
      </c>
      <c r="Z368">
        <v>173.2</v>
      </c>
      <c r="AA368">
        <v>179.4</v>
      </c>
      <c r="AB368">
        <v>183.8</v>
      </c>
      <c r="AC368">
        <v>178.9</v>
      </c>
      <c r="AD368">
        <v>178.8</v>
      </c>
      <c r="AE368">
        <v>2274.1999999999998</v>
      </c>
      <c r="AF368">
        <v>357</v>
      </c>
      <c r="AG368">
        <v>568.20000000000005</v>
      </c>
      <c r="AH368">
        <v>353.6</v>
      </c>
      <c r="AI368">
        <v>199.5</v>
      </c>
      <c r="AJ368">
        <v>181.5</v>
      </c>
      <c r="AK368">
        <v>187.2</v>
      </c>
      <c r="AL368">
        <v>169.4</v>
      </c>
      <c r="AM368">
        <v>179.4</v>
      </c>
      <c r="AN368">
        <v>178.9</v>
      </c>
    </row>
    <row r="369" spans="1:40" x14ac:dyDescent="0.25">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c r="AE369">
        <v>2317.7000000000003</v>
      </c>
      <c r="AF369">
        <v>353.20000000000005</v>
      </c>
      <c r="AG369">
        <v>527.6</v>
      </c>
      <c r="AH369">
        <v>344.79999999999995</v>
      </c>
      <c r="AI369">
        <v>203.5</v>
      </c>
      <c r="AJ369">
        <v>182.1</v>
      </c>
      <c r="AK369">
        <v>181.5</v>
      </c>
      <c r="AL369">
        <v>160.1</v>
      </c>
      <c r="AM369">
        <v>174.2</v>
      </c>
      <c r="AN369">
        <v>170.9</v>
      </c>
    </row>
    <row r="370" spans="1:40" x14ac:dyDescent="0.25">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c r="AE370">
        <v>2289.6000000000004</v>
      </c>
      <c r="AF370">
        <v>354.7</v>
      </c>
      <c r="AG370">
        <v>551.79999999999995</v>
      </c>
      <c r="AH370">
        <v>349.79999999999995</v>
      </c>
      <c r="AI370">
        <v>200.6</v>
      </c>
      <c r="AJ370">
        <v>181.7</v>
      </c>
      <c r="AK370">
        <v>185</v>
      </c>
      <c r="AL370">
        <v>164.5</v>
      </c>
      <c r="AM370">
        <v>176.4</v>
      </c>
      <c r="AN370">
        <v>175</v>
      </c>
    </row>
    <row r="371" spans="1:40" x14ac:dyDescent="0.25">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v>175</v>
      </c>
      <c r="V371">
        <v>182.5</v>
      </c>
      <c r="W371">
        <v>179.8</v>
      </c>
      <c r="X371">
        <v>187.8</v>
      </c>
      <c r="Y371">
        <v>169.7</v>
      </c>
      <c r="Z371">
        <v>173.8</v>
      </c>
      <c r="AA371">
        <v>180.3</v>
      </c>
      <c r="AB371">
        <v>184.9</v>
      </c>
      <c r="AC371">
        <v>179.5</v>
      </c>
      <c r="AD371">
        <v>179.8</v>
      </c>
      <c r="AE371">
        <v>2290.7000000000007</v>
      </c>
      <c r="AF371">
        <v>358.70000000000005</v>
      </c>
      <c r="AG371">
        <v>569.90000000000009</v>
      </c>
      <c r="AH371">
        <v>354.8</v>
      </c>
      <c r="AI371">
        <v>199.9</v>
      </c>
      <c r="AJ371">
        <v>182.5</v>
      </c>
      <c r="AK371">
        <v>187.8</v>
      </c>
      <c r="AL371">
        <v>169.7</v>
      </c>
      <c r="AM371">
        <v>180.3</v>
      </c>
      <c r="AN371">
        <v>179.5</v>
      </c>
    </row>
    <row r="372" spans="1:40" x14ac:dyDescent="0.25">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c r="AE372">
        <v>2335.1</v>
      </c>
      <c r="AF372">
        <v>354.79999999999995</v>
      </c>
      <c r="AG372">
        <v>528.70000000000005</v>
      </c>
      <c r="AH372">
        <v>345.7</v>
      </c>
      <c r="AI372">
        <v>204.2</v>
      </c>
      <c r="AJ372">
        <v>183.4</v>
      </c>
      <c r="AK372">
        <v>182.2</v>
      </c>
      <c r="AL372">
        <v>160.4</v>
      </c>
      <c r="AM372">
        <v>174.8</v>
      </c>
      <c r="AN372">
        <v>171.6</v>
      </c>
    </row>
    <row r="373" spans="1:40" x14ac:dyDescent="0.25">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c r="AE373">
        <v>2306.9</v>
      </c>
      <c r="AF373">
        <v>356.4</v>
      </c>
      <c r="AG373">
        <v>553.20000000000005</v>
      </c>
      <c r="AH373">
        <v>350.79999999999995</v>
      </c>
      <c r="AI373">
        <v>201</v>
      </c>
      <c r="AJ373">
        <v>182.8</v>
      </c>
      <c r="AK373">
        <v>185.7</v>
      </c>
      <c r="AL373">
        <v>164.8</v>
      </c>
      <c r="AM373">
        <v>177.1</v>
      </c>
      <c r="AN373">
        <v>175.7</v>
      </c>
    </row>
  </sheetData>
  <autoFilter ref="A1:AD373" xr:uid="{30FBD7C2-9B52-4405-B162-5DF2558BE2B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BCE87-6EB8-4980-81CE-864DE75B5AF5}">
  <dimension ref="A1:M49"/>
  <sheetViews>
    <sheetView workbookViewId="0">
      <selection activeCell="Q9" sqref="Q9"/>
    </sheetView>
  </sheetViews>
  <sheetFormatPr defaultRowHeight="15" x14ac:dyDescent="0.25"/>
  <cols>
    <col min="28" max="28" width="13.85546875" bestFit="1" customWidth="1"/>
    <col min="29" max="29" width="7" customWidth="1"/>
  </cols>
  <sheetData>
    <row r="1" spans="1:13" x14ac:dyDescent="0.25">
      <c r="A1" t="s">
        <v>0</v>
      </c>
      <c r="B1" t="s">
        <v>1</v>
      </c>
      <c r="C1" t="s">
        <v>2</v>
      </c>
      <c r="D1" s="1" t="s">
        <v>49</v>
      </c>
      <c r="E1" s="1" t="s">
        <v>50</v>
      </c>
      <c r="F1" s="1" t="s">
        <v>51</v>
      </c>
      <c r="G1" s="1" t="s">
        <v>52</v>
      </c>
      <c r="H1" s="1" t="s">
        <v>53</v>
      </c>
      <c r="I1" s="1" t="s">
        <v>21</v>
      </c>
      <c r="J1" s="1" t="s">
        <v>23</v>
      </c>
      <c r="K1" s="1" t="s">
        <v>54</v>
      </c>
      <c r="L1" s="1" t="s">
        <v>26</v>
      </c>
      <c r="M1" s="1" t="s">
        <v>55</v>
      </c>
    </row>
    <row r="2" spans="1:13" x14ac:dyDescent="0.25">
      <c r="A2" t="s">
        <v>30</v>
      </c>
      <c r="B2">
        <v>2023</v>
      </c>
      <c r="C2" t="s">
        <v>38</v>
      </c>
      <c r="D2">
        <v>2290.7000000000007</v>
      </c>
      <c r="E2">
        <v>358.70000000000005</v>
      </c>
      <c r="F2">
        <v>569.90000000000009</v>
      </c>
      <c r="G2">
        <v>354.8</v>
      </c>
      <c r="H2">
        <v>199.9</v>
      </c>
      <c r="I2">
        <v>182.5</v>
      </c>
      <c r="J2">
        <v>187.8</v>
      </c>
      <c r="K2">
        <v>169.7</v>
      </c>
      <c r="L2">
        <v>180.3</v>
      </c>
      <c r="M2">
        <v>179.5</v>
      </c>
    </row>
    <row r="4" spans="1:13" x14ac:dyDescent="0.25">
      <c r="A4" t="s">
        <v>0</v>
      </c>
      <c r="B4" t="s">
        <v>1</v>
      </c>
      <c r="C4" t="s">
        <v>2</v>
      </c>
      <c r="D4" s="1" t="s">
        <v>49</v>
      </c>
      <c r="E4" s="1" t="s">
        <v>50</v>
      </c>
      <c r="F4" s="1" t="s">
        <v>51</v>
      </c>
      <c r="G4" s="1" t="s">
        <v>52</v>
      </c>
      <c r="H4" s="1" t="s">
        <v>53</v>
      </c>
      <c r="I4" s="1" t="s">
        <v>21</v>
      </c>
      <c r="J4" s="1" t="s">
        <v>23</v>
      </c>
      <c r="K4" s="1" t="s">
        <v>54</v>
      </c>
      <c r="L4" s="1" t="s">
        <v>26</v>
      </c>
      <c r="M4" s="1" t="s">
        <v>55</v>
      </c>
    </row>
    <row r="5" spans="1:13" x14ac:dyDescent="0.25">
      <c r="A5" t="s">
        <v>33</v>
      </c>
      <c r="B5">
        <v>2023</v>
      </c>
      <c r="C5" t="s">
        <v>38</v>
      </c>
      <c r="D5">
        <v>2335.1</v>
      </c>
      <c r="E5">
        <v>354.79999999999995</v>
      </c>
      <c r="F5">
        <v>528.70000000000005</v>
      </c>
      <c r="G5">
        <v>345.7</v>
      </c>
      <c r="H5">
        <v>204.2</v>
      </c>
      <c r="I5">
        <v>183.4</v>
      </c>
      <c r="J5">
        <v>182.2</v>
      </c>
      <c r="K5">
        <v>160.4</v>
      </c>
      <c r="L5">
        <v>174.8</v>
      </c>
      <c r="M5">
        <v>171.6</v>
      </c>
    </row>
    <row r="7" spans="1:13" x14ac:dyDescent="0.25">
      <c r="A7" t="s">
        <v>0</v>
      </c>
      <c r="B7" t="s">
        <v>1</v>
      </c>
      <c r="C7" t="s">
        <v>2</v>
      </c>
      <c r="D7" s="1" t="s">
        <v>49</v>
      </c>
      <c r="E7" s="1" t="s">
        <v>50</v>
      </c>
      <c r="F7" s="1" t="s">
        <v>51</v>
      </c>
      <c r="G7" s="1" t="s">
        <v>52</v>
      </c>
      <c r="H7" s="1" t="s">
        <v>53</v>
      </c>
      <c r="I7" s="1" t="s">
        <v>21</v>
      </c>
      <c r="J7" s="1" t="s">
        <v>23</v>
      </c>
      <c r="K7" s="1" t="s">
        <v>54</v>
      </c>
      <c r="L7" s="1" t="s">
        <v>26</v>
      </c>
      <c r="M7" s="1" t="s">
        <v>55</v>
      </c>
    </row>
    <row r="8" spans="1:13" x14ac:dyDescent="0.25">
      <c r="A8" t="s">
        <v>34</v>
      </c>
      <c r="B8">
        <v>2023</v>
      </c>
      <c r="C8" t="s">
        <v>38</v>
      </c>
      <c r="D8">
        <v>2306.9</v>
      </c>
      <c r="E8">
        <v>356.4</v>
      </c>
      <c r="F8">
        <v>553.20000000000005</v>
      </c>
      <c r="G8">
        <v>350.79999999999995</v>
      </c>
      <c r="H8">
        <v>201</v>
      </c>
      <c r="I8">
        <v>182.8</v>
      </c>
      <c r="J8">
        <v>185.7</v>
      </c>
      <c r="K8">
        <v>164.8</v>
      </c>
      <c r="L8">
        <v>177.1</v>
      </c>
      <c r="M8">
        <v>175.7</v>
      </c>
    </row>
    <row r="48" spans="5:10" x14ac:dyDescent="0.25">
      <c r="E48" s="15" t="s">
        <v>89</v>
      </c>
      <c r="F48" s="15"/>
      <c r="G48" s="15"/>
      <c r="H48" s="15"/>
      <c r="I48" s="15"/>
      <c r="J48" s="15"/>
    </row>
    <row r="49" spans="5:10" x14ac:dyDescent="0.25">
      <c r="E49" s="15" t="s">
        <v>90</v>
      </c>
      <c r="F49" s="15"/>
      <c r="G49" s="15"/>
      <c r="H49" s="15"/>
      <c r="I49" s="15"/>
      <c r="J49" s="15"/>
    </row>
  </sheetData>
  <mergeCells count="2">
    <mergeCell ref="E48:J48"/>
    <mergeCell ref="E49:J4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B079A-EED2-417B-89C6-975FA8D00FC0}">
  <dimension ref="A1:AP40"/>
  <sheetViews>
    <sheetView topLeftCell="H1" workbookViewId="0">
      <selection activeCell="F5" sqref="F5"/>
    </sheetView>
  </sheetViews>
  <sheetFormatPr defaultRowHeight="15" x14ac:dyDescent="0.25"/>
  <cols>
    <col min="6" max="6" width="13.5703125" bestFit="1" customWidth="1"/>
  </cols>
  <sheetData>
    <row r="1" spans="1:42" x14ac:dyDescent="0.25">
      <c r="A1" s="15" t="s">
        <v>60</v>
      </c>
      <c r="B1" s="15"/>
      <c r="C1" s="15"/>
    </row>
    <row r="3" spans="1:42" x14ac:dyDescent="0.25">
      <c r="A3" t="s">
        <v>56</v>
      </c>
      <c r="B3" t="s">
        <v>57</v>
      </c>
    </row>
    <row r="4" spans="1:42" x14ac:dyDescent="0.25">
      <c r="A4">
        <v>2017</v>
      </c>
      <c r="B4">
        <v>130.30000000000001</v>
      </c>
      <c r="C4" t="s">
        <v>58</v>
      </c>
      <c r="E4" t="s">
        <v>56</v>
      </c>
      <c r="F4" t="s">
        <v>29</v>
      </c>
    </row>
    <row r="5" spans="1:42" x14ac:dyDescent="0.25">
      <c r="B5">
        <v>137.19999999999999</v>
      </c>
      <c r="C5" t="s">
        <v>59</v>
      </c>
      <c r="E5">
        <v>2017</v>
      </c>
      <c r="F5">
        <f>((B5-B4)/B4)*100</f>
        <v>5.2954719877206271</v>
      </c>
      <c r="P5" s="15" t="s">
        <v>91</v>
      </c>
      <c r="Q5" s="15"/>
      <c r="R5" s="15"/>
      <c r="S5" s="15"/>
      <c r="T5" s="15"/>
      <c r="U5" s="15"/>
    </row>
    <row r="6" spans="1:42" x14ac:dyDescent="0.25">
      <c r="A6">
        <v>2018</v>
      </c>
      <c r="B6">
        <v>136.9</v>
      </c>
      <c r="C6" t="s">
        <v>58</v>
      </c>
      <c r="E6">
        <v>2018</v>
      </c>
      <c r="F6">
        <f>((B7-B6)/B6)*100</f>
        <v>2.3374726077428698</v>
      </c>
    </row>
    <row r="7" spans="1:42" x14ac:dyDescent="0.25">
      <c r="B7">
        <v>140.1</v>
      </c>
      <c r="C7" t="s">
        <v>59</v>
      </c>
      <c r="E7">
        <v>2019</v>
      </c>
      <c r="F7">
        <f>((B9-B8)/B8)*100</f>
        <v>7.7363896848137621</v>
      </c>
    </row>
    <row r="8" spans="1:42" x14ac:dyDescent="0.25">
      <c r="A8">
        <v>2019</v>
      </c>
      <c r="B8">
        <v>139.6</v>
      </c>
      <c r="C8" t="s">
        <v>58</v>
      </c>
      <c r="E8">
        <v>2020</v>
      </c>
      <c r="F8">
        <f>((B11-B10)/B10)*100</f>
        <v>5.7922769640479483</v>
      </c>
      <c r="P8" s="16" t="s">
        <v>95</v>
      </c>
      <c r="Q8" s="16"/>
      <c r="R8" s="16"/>
      <c r="S8" s="16"/>
      <c r="T8" s="16"/>
      <c r="U8" s="16"/>
      <c r="V8" s="16"/>
      <c r="W8" s="16"/>
      <c r="X8" s="16"/>
      <c r="Y8" s="16"/>
    </row>
    <row r="9" spans="1:42" x14ac:dyDescent="0.25">
      <c r="B9">
        <v>150.4</v>
      </c>
      <c r="C9" t="s">
        <v>59</v>
      </c>
      <c r="E9">
        <v>2021</v>
      </c>
      <c r="F9">
        <f>((B13-B12)/B12)*100</f>
        <v>5.6579783852510976</v>
      </c>
    </row>
    <row r="10" spans="1:42" x14ac:dyDescent="0.25">
      <c r="A10">
        <v>2020</v>
      </c>
      <c r="B10">
        <v>150.19999999999999</v>
      </c>
      <c r="C10" t="s">
        <v>58</v>
      </c>
      <c r="E10">
        <v>2022</v>
      </c>
      <c r="F10">
        <f>((B15-B14)/B14)*100</f>
        <v>6.0350030175015092</v>
      </c>
      <c r="P10" s="17" t="s">
        <v>100</v>
      </c>
      <c r="Q10" s="17"/>
      <c r="R10" s="17"/>
      <c r="S10" s="17"/>
    </row>
    <row r="11" spans="1:42" x14ac:dyDescent="0.25">
      <c r="B11">
        <v>158.9</v>
      </c>
      <c r="C11" t="s">
        <v>59</v>
      </c>
      <c r="P11" s="10"/>
    </row>
    <row r="12" spans="1:42" x14ac:dyDescent="0.25">
      <c r="A12">
        <v>2021</v>
      </c>
      <c r="B12">
        <v>157.30000000000001</v>
      </c>
      <c r="C12" t="s">
        <v>58</v>
      </c>
      <c r="P12" s="18" t="s">
        <v>96</v>
      </c>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row>
    <row r="13" spans="1:42" x14ac:dyDescent="0.25">
      <c r="B13">
        <v>166.2</v>
      </c>
      <c r="C13" t="s">
        <v>59</v>
      </c>
    </row>
    <row r="14" spans="1:42" x14ac:dyDescent="0.25">
      <c r="A14">
        <v>2022</v>
      </c>
      <c r="B14">
        <v>165.7</v>
      </c>
      <c r="C14" t="s">
        <v>58</v>
      </c>
      <c r="P14" s="19" t="s">
        <v>101</v>
      </c>
      <c r="Q14" s="19"/>
      <c r="R14" s="19"/>
      <c r="S14" s="19"/>
    </row>
    <row r="15" spans="1:42" x14ac:dyDescent="0.25">
      <c r="B15">
        <v>175.7</v>
      </c>
      <c r="C15" t="s">
        <v>59</v>
      </c>
      <c r="P15" s="10"/>
    </row>
    <row r="16" spans="1:42" x14ac:dyDescent="0.25">
      <c r="P16" s="20" t="s">
        <v>97</v>
      </c>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row>
    <row r="18" spans="16:18" x14ac:dyDescent="0.25">
      <c r="P18" s="19" t="s">
        <v>102</v>
      </c>
      <c r="Q18" s="19"/>
      <c r="R18" s="19"/>
    </row>
    <row r="19" spans="16:18" x14ac:dyDescent="0.25">
      <c r="P19" s="10"/>
    </row>
    <row r="20" spans="16:18" x14ac:dyDescent="0.25">
      <c r="P20" s="10" t="s">
        <v>98</v>
      </c>
    </row>
    <row r="22" spans="16:18" x14ac:dyDescent="0.25">
      <c r="P22" s="19" t="s">
        <v>103</v>
      </c>
      <c r="Q22" s="19"/>
      <c r="R22" s="19"/>
    </row>
    <row r="23" spans="16:18" x14ac:dyDescent="0.25">
      <c r="P23" s="10"/>
    </row>
    <row r="24" spans="16:18" x14ac:dyDescent="0.25">
      <c r="P24" s="12" t="s">
        <v>99</v>
      </c>
    </row>
    <row r="26" spans="16:18" x14ac:dyDescent="0.25">
      <c r="P26" s="11" t="s">
        <v>108</v>
      </c>
      <c r="Q26" s="13"/>
      <c r="R26" s="13"/>
    </row>
    <row r="27" spans="16:18" x14ac:dyDescent="0.25">
      <c r="P27" s="10"/>
    </row>
    <row r="28" spans="16:18" x14ac:dyDescent="0.25">
      <c r="P28" s="12" t="s">
        <v>104</v>
      </c>
    </row>
    <row r="30" spans="16:18" x14ac:dyDescent="0.25">
      <c r="P30" s="11" t="s">
        <v>109</v>
      </c>
      <c r="Q30" s="13"/>
      <c r="R30" s="13"/>
    </row>
    <row r="31" spans="16:18" x14ac:dyDescent="0.25">
      <c r="P31" s="10"/>
    </row>
    <row r="32" spans="16:18" x14ac:dyDescent="0.25">
      <c r="P32" s="12" t="s">
        <v>105</v>
      </c>
    </row>
    <row r="34" spans="16:19" x14ac:dyDescent="0.25">
      <c r="P34" s="5" t="s">
        <v>110</v>
      </c>
    </row>
    <row r="35" spans="16:19" x14ac:dyDescent="0.25">
      <c r="P35" s="10"/>
    </row>
    <row r="36" spans="16:19" x14ac:dyDescent="0.25">
      <c r="P36" s="12" t="s">
        <v>106</v>
      </c>
    </row>
    <row r="38" spans="16:19" x14ac:dyDescent="0.25">
      <c r="P38" s="11" t="s">
        <v>111</v>
      </c>
      <c r="Q38" s="13"/>
      <c r="R38" s="13"/>
      <c r="S38" s="13"/>
    </row>
    <row r="39" spans="16:19" x14ac:dyDescent="0.25">
      <c r="P39" s="10"/>
    </row>
    <row r="40" spans="16:19" x14ac:dyDescent="0.25">
      <c r="P40" s="10" t="s">
        <v>107</v>
      </c>
    </row>
  </sheetData>
  <mergeCells count="9">
    <mergeCell ref="P14:S14"/>
    <mergeCell ref="P16:AP16"/>
    <mergeCell ref="P18:R18"/>
    <mergeCell ref="P22:R22"/>
    <mergeCell ref="A1:C1"/>
    <mergeCell ref="P5:U5"/>
    <mergeCell ref="P8:Y8"/>
    <mergeCell ref="P10:S10"/>
    <mergeCell ref="P12:AP1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975F3-4909-40FE-B324-F3EFA20D3F1F}">
  <dimension ref="A1:AO79"/>
  <sheetViews>
    <sheetView topLeftCell="A4" zoomScaleNormal="100" workbookViewId="0">
      <selection activeCell="E22" sqref="E22"/>
    </sheetView>
  </sheetViews>
  <sheetFormatPr defaultRowHeight="15" x14ac:dyDescent="0.25"/>
  <cols>
    <col min="1" max="1" width="11.85546875" bestFit="1" customWidth="1"/>
    <col min="5" max="5" width="19.7109375" bestFit="1" customWidth="1"/>
    <col min="6" max="6" width="13.28515625" bestFit="1" customWidth="1"/>
    <col min="7" max="7" width="10.28515625" bestFit="1" customWidth="1"/>
    <col min="8" max="8" width="17" bestFit="1" customWidth="1"/>
    <col min="9" max="9" width="12" bestFit="1" customWidth="1"/>
    <col min="10" max="10" width="10.28515625" bestFit="1" customWidth="1"/>
    <col min="11" max="11" width="11.28515625" bestFit="1" customWidth="1"/>
    <col min="12" max="12" width="34.28515625" bestFit="1" customWidth="1"/>
    <col min="13" max="13" width="23.140625" bestFit="1" customWidth="1"/>
    <col min="14" max="14" width="9.5703125" bestFit="1" customWidth="1"/>
    <col min="15" max="15" width="23.42578125" bestFit="1" customWidth="1"/>
    <col min="16" max="16" width="41.28515625" bestFit="1" customWidth="1"/>
    <col min="17" max="17" width="19" bestFit="1" customWidth="1"/>
    <col min="18" max="18" width="26.5703125" bestFit="1" customWidth="1"/>
    <col min="19" max="19" width="8.42578125" bestFit="1" customWidth="1"/>
    <col min="20" max="20" width="9.42578125" bestFit="1" customWidth="1"/>
    <col min="21" max="21" width="21" bestFit="1" customWidth="1"/>
    <col min="22" max="22" width="8.140625" bestFit="1" customWidth="1"/>
    <col min="23" max="23" width="13.140625" bestFit="1" customWidth="1"/>
    <col min="24" max="24" width="28.140625" bestFit="1" customWidth="1"/>
    <col min="25" max="25" width="6.85546875" bestFit="1" customWidth="1"/>
    <col min="26" max="26" width="27.85546875" bestFit="1" customWidth="1"/>
    <col min="27" max="27" width="25.85546875" bestFit="1" customWidth="1"/>
    <col min="28" max="28" width="9.7109375" bestFit="1" customWidth="1"/>
    <col min="29" max="29" width="23.5703125" bestFit="1" customWidth="1"/>
    <col min="30" max="30" width="13.85546875" bestFit="1" customWidth="1"/>
    <col min="31" max="31" width="13.5703125" bestFit="1" customWidth="1"/>
  </cols>
  <sheetData>
    <row r="1" spans="1:41" x14ac:dyDescent="0.25">
      <c r="A1" t="s">
        <v>0</v>
      </c>
      <c r="B1" t="s">
        <v>1</v>
      </c>
      <c r="C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s="1" t="s">
        <v>49</v>
      </c>
      <c r="AG1" s="1" t="s">
        <v>50</v>
      </c>
      <c r="AH1" s="1" t="s">
        <v>51</v>
      </c>
      <c r="AI1" s="1" t="s">
        <v>52</v>
      </c>
      <c r="AJ1" s="1" t="s">
        <v>53</v>
      </c>
      <c r="AK1" s="1" t="s">
        <v>21</v>
      </c>
      <c r="AL1" s="1" t="s">
        <v>23</v>
      </c>
      <c r="AM1" s="1" t="s">
        <v>54</v>
      </c>
      <c r="AN1" s="1" t="s">
        <v>26</v>
      </c>
      <c r="AO1" s="1" t="s">
        <v>55</v>
      </c>
    </row>
    <row r="2" spans="1:41" x14ac:dyDescent="0.25">
      <c r="A2" t="s">
        <v>34</v>
      </c>
      <c r="B2">
        <v>2022</v>
      </c>
      <c r="C2" t="s">
        <v>31</v>
      </c>
      <c r="E2">
        <v>149.5</v>
      </c>
      <c r="F2">
        <v>198.7</v>
      </c>
      <c r="G2">
        <v>178.8</v>
      </c>
      <c r="H2">
        <v>160.5</v>
      </c>
      <c r="I2">
        <v>184.7</v>
      </c>
      <c r="J2">
        <v>153.69999999999999</v>
      </c>
      <c r="K2">
        <v>174.3</v>
      </c>
      <c r="L2">
        <v>163.9</v>
      </c>
      <c r="M2">
        <v>120</v>
      </c>
      <c r="N2">
        <v>172.1</v>
      </c>
      <c r="O2">
        <v>164.3</v>
      </c>
      <c r="P2">
        <v>177.3</v>
      </c>
      <c r="Q2">
        <v>166.4</v>
      </c>
      <c r="R2">
        <v>192.2</v>
      </c>
      <c r="S2">
        <v>169.9</v>
      </c>
      <c r="T2">
        <v>160.69999999999999</v>
      </c>
      <c r="U2">
        <v>168.5</v>
      </c>
      <c r="V2">
        <v>164.5</v>
      </c>
      <c r="W2">
        <v>164.2</v>
      </c>
      <c r="X2">
        <v>161.1</v>
      </c>
      <c r="Y2">
        <v>171.4</v>
      </c>
      <c r="Z2">
        <v>156.5</v>
      </c>
      <c r="AA2">
        <v>161.19999999999999</v>
      </c>
      <c r="AB2">
        <v>164.7</v>
      </c>
      <c r="AC2">
        <v>163</v>
      </c>
      <c r="AD2">
        <v>162.69999999999999</v>
      </c>
      <c r="AE2">
        <v>165.7</v>
      </c>
      <c r="AF2">
        <v>2164.1999999999998</v>
      </c>
      <c r="AG2">
        <v>324.2</v>
      </c>
      <c r="AH2">
        <v>499.1</v>
      </c>
      <c r="AI2">
        <v>325.60000000000002</v>
      </c>
      <c r="AJ2">
        <v>192.2</v>
      </c>
      <c r="AK2">
        <v>164.2</v>
      </c>
      <c r="AL2">
        <v>171.4</v>
      </c>
      <c r="AM2">
        <v>156.5</v>
      </c>
      <c r="AN2">
        <v>164.7</v>
      </c>
      <c r="AO2">
        <v>162.69999999999999</v>
      </c>
    </row>
    <row r="3" spans="1:41" x14ac:dyDescent="0.25">
      <c r="A3" t="s">
        <v>34</v>
      </c>
      <c r="B3">
        <v>2022</v>
      </c>
      <c r="C3" t="s">
        <v>35</v>
      </c>
      <c r="E3">
        <v>150</v>
      </c>
      <c r="F3">
        <v>200.6</v>
      </c>
      <c r="G3">
        <v>175.8</v>
      </c>
      <c r="H3">
        <v>160.69999999999999</v>
      </c>
      <c r="I3">
        <v>184.9</v>
      </c>
      <c r="J3">
        <v>153.69999999999999</v>
      </c>
      <c r="K3">
        <v>169.7</v>
      </c>
      <c r="L3">
        <v>163.69999999999999</v>
      </c>
      <c r="M3">
        <v>118.9</v>
      </c>
      <c r="N3">
        <v>174.3</v>
      </c>
      <c r="O3">
        <v>164.7</v>
      </c>
      <c r="P3">
        <v>178</v>
      </c>
      <c r="Q3">
        <v>166.2</v>
      </c>
      <c r="R3">
        <v>192.8</v>
      </c>
      <c r="S3">
        <v>170.8</v>
      </c>
      <c r="T3">
        <v>162.4</v>
      </c>
      <c r="U3">
        <v>169.6</v>
      </c>
      <c r="V3">
        <v>165.5</v>
      </c>
      <c r="W3">
        <v>165.7</v>
      </c>
      <c r="X3">
        <v>161.80000000000001</v>
      </c>
      <c r="Y3">
        <v>172.2</v>
      </c>
      <c r="Z3">
        <v>156.9</v>
      </c>
      <c r="AA3">
        <v>162.1</v>
      </c>
      <c r="AB3">
        <v>165.4</v>
      </c>
      <c r="AC3">
        <v>164.4</v>
      </c>
      <c r="AD3">
        <v>163.5</v>
      </c>
      <c r="AE3">
        <v>166.1</v>
      </c>
      <c r="AF3">
        <v>2161.2000000000003</v>
      </c>
      <c r="AG3">
        <v>326.5</v>
      </c>
      <c r="AH3">
        <v>502.80000000000007</v>
      </c>
      <c r="AI3">
        <v>327.3</v>
      </c>
      <c r="AJ3">
        <v>192.8</v>
      </c>
      <c r="AK3">
        <v>165.7</v>
      </c>
      <c r="AL3">
        <v>172.2</v>
      </c>
      <c r="AM3">
        <v>156.9</v>
      </c>
      <c r="AN3">
        <v>165.4</v>
      </c>
      <c r="AO3">
        <v>163.5</v>
      </c>
    </row>
    <row r="4" spans="1:41" x14ac:dyDescent="0.25">
      <c r="A4" t="s">
        <v>34</v>
      </c>
      <c r="B4">
        <v>2022</v>
      </c>
      <c r="C4" t="s">
        <v>36</v>
      </c>
      <c r="E4">
        <v>151.30000000000001</v>
      </c>
      <c r="F4">
        <v>210.7</v>
      </c>
      <c r="G4">
        <v>167.8</v>
      </c>
      <c r="H4">
        <v>162.19999999999999</v>
      </c>
      <c r="I4">
        <v>194.6</v>
      </c>
      <c r="J4">
        <v>157.6</v>
      </c>
      <c r="K4">
        <v>166.9</v>
      </c>
      <c r="L4">
        <v>163.9</v>
      </c>
      <c r="M4">
        <v>118.8</v>
      </c>
      <c r="N4">
        <v>177.4</v>
      </c>
      <c r="O4">
        <v>165.3</v>
      </c>
      <c r="P4">
        <v>179.3</v>
      </c>
      <c r="Q4">
        <v>168.4</v>
      </c>
      <c r="R4">
        <v>193.7</v>
      </c>
      <c r="S4">
        <v>172.1</v>
      </c>
      <c r="T4">
        <v>164.6</v>
      </c>
      <c r="U4">
        <v>171.1</v>
      </c>
      <c r="V4">
        <v>165.3</v>
      </c>
      <c r="W4">
        <v>167.2</v>
      </c>
      <c r="X4">
        <v>162.80000000000001</v>
      </c>
      <c r="Y4">
        <v>173</v>
      </c>
      <c r="Z4">
        <v>157.9</v>
      </c>
      <c r="AA4">
        <v>163.30000000000001</v>
      </c>
      <c r="AB4">
        <v>166</v>
      </c>
      <c r="AC4">
        <v>167.2</v>
      </c>
      <c r="AD4">
        <v>164.6</v>
      </c>
      <c r="AE4">
        <v>167.7</v>
      </c>
      <c r="AF4">
        <v>2184.2000000000003</v>
      </c>
      <c r="AG4">
        <v>330.5</v>
      </c>
      <c r="AH4">
        <v>507.79999999999995</v>
      </c>
      <c r="AI4">
        <v>328.1</v>
      </c>
      <c r="AJ4">
        <v>193.7</v>
      </c>
      <c r="AK4">
        <v>167.2</v>
      </c>
      <c r="AL4">
        <v>173</v>
      </c>
      <c r="AM4">
        <v>157.9</v>
      </c>
      <c r="AN4">
        <v>166</v>
      </c>
      <c r="AO4">
        <v>164.6</v>
      </c>
    </row>
    <row r="5" spans="1:41" x14ac:dyDescent="0.25">
      <c r="A5" t="s">
        <v>34</v>
      </c>
      <c r="B5">
        <v>2022</v>
      </c>
      <c r="C5" t="s">
        <v>37</v>
      </c>
      <c r="E5">
        <v>152.9</v>
      </c>
      <c r="F5">
        <v>211.8</v>
      </c>
      <c r="G5">
        <v>164.5</v>
      </c>
      <c r="H5">
        <v>163.9</v>
      </c>
      <c r="I5">
        <v>199.5</v>
      </c>
      <c r="J5">
        <v>172.6</v>
      </c>
      <c r="K5">
        <v>166.2</v>
      </c>
      <c r="L5">
        <v>164.7</v>
      </c>
      <c r="M5">
        <v>119</v>
      </c>
      <c r="N5">
        <v>181.3</v>
      </c>
      <c r="O5">
        <v>166.2</v>
      </c>
      <c r="P5">
        <v>180.9</v>
      </c>
      <c r="Q5">
        <v>170.8</v>
      </c>
      <c r="R5">
        <v>193.9</v>
      </c>
      <c r="S5">
        <v>173.9</v>
      </c>
      <c r="T5">
        <v>166.5</v>
      </c>
      <c r="U5">
        <v>172.8</v>
      </c>
      <c r="V5">
        <v>167</v>
      </c>
      <c r="W5">
        <v>172.2</v>
      </c>
      <c r="X5">
        <v>164</v>
      </c>
      <c r="Y5">
        <v>174</v>
      </c>
      <c r="Z5">
        <v>162.6</v>
      </c>
      <c r="AA5">
        <v>164.4</v>
      </c>
      <c r="AB5">
        <v>166.9</v>
      </c>
      <c r="AC5">
        <v>168.8</v>
      </c>
      <c r="AD5">
        <v>166.8</v>
      </c>
      <c r="AE5">
        <v>170.1</v>
      </c>
      <c r="AF5">
        <v>2214.3000000000002</v>
      </c>
      <c r="AG5">
        <v>333.20000000000005</v>
      </c>
      <c r="AH5">
        <v>513.20000000000005</v>
      </c>
      <c r="AI5">
        <v>331</v>
      </c>
      <c r="AJ5">
        <v>193.9</v>
      </c>
      <c r="AK5">
        <v>172.2</v>
      </c>
      <c r="AL5">
        <v>174</v>
      </c>
      <c r="AM5">
        <v>162.6</v>
      </c>
      <c r="AN5">
        <v>166.9</v>
      </c>
      <c r="AO5">
        <v>166.8</v>
      </c>
    </row>
    <row r="6" spans="1:41" x14ac:dyDescent="0.25">
      <c r="A6" t="s">
        <v>34</v>
      </c>
      <c r="B6">
        <v>2022</v>
      </c>
      <c r="C6" t="s">
        <v>38</v>
      </c>
      <c r="E6">
        <v>154.1</v>
      </c>
      <c r="F6">
        <v>217</v>
      </c>
      <c r="G6">
        <v>162.4</v>
      </c>
      <c r="H6">
        <v>164.9</v>
      </c>
      <c r="I6">
        <v>202.4</v>
      </c>
      <c r="J6">
        <v>171</v>
      </c>
      <c r="K6">
        <v>174.9</v>
      </c>
      <c r="L6">
        <v>164.7</v>
      </c>
      <c r="M6">
        <v>119.7</v>
      </c>
      <c r="N6">
        <v>184.9</v>
      </c>
      <c r="O6">
        <v>167.1</v>
      </c>
      <c r="P6">
        <v>182.5</v>
      </c>
      <c r="Q6">
        <v>173.3</v>
      </c>
      <c r="R6">
        <v>194.1</v>
      </c>
      <c r="S6">
        <v>175.6</v>
      </c>
      <c r="T6">
        <v>168.4</v>
      </c>
      <c r="U6">
        <v>174.6</v>
      </c>
      <c r="V6">
        <v>167.5</v>
      </c>
      <c r="W6">
        <v>174.6</v>
      </c>
      <c r="X6">
        <v>165.2</v>
      </c>
      <c r="Y6">
        <v>174.8</v>
      </c>
      <c r="Z6">
        <v>163</v>
      </c>
      <c r="AA6">
        <v>165.1</v>
      </c>
      <c r="AB6">
        <v>167.9</v>
      </c>
      <c r="AC6">
        <v>168.4</v>
      </c>
      <c r="AD6">
        <v>167.5</v>
      </c>
      <c r="AE6">
        <v>171.7</v>
      </c>
      <c r="AF6">
        <v>2238.9000000000005</v>
      </c>
      <c r="AG6">
        <v>333.5</v>
      </c>
      <c r="AH6">
        <v>518.6</v>
      </c>
      <c r="AI6">
        <v>332.7</v>
      </c>
      <c r="AJ6">
        <v>194.1</v>
      </c>
      <c r="AK6">
        <v>174.6</v>
      </c>
      <c r="AL6">
        <v>174.8</v>
      </c>
      <c r="AM6">
        <v>163</v>
      </c>
      <c r="AN6">
        <v>167.9</v>
      </c>
      <c r="AO6">
        <v>167.5</v>
      </c>
    </row>
    <row r="7" spans="1:41" x14ac:dyDescent="0.25">
      <c r="A7" t="s">
        <v>34</v>
      </c>
      <c r="B7">
        <v>2022</v>
      </c>
      <c r="C7" t="s">
        <v>39</v>
      </c>
      <c r="E7">
        <v>155</v>
      </c>
      <c r="F7">
        <v>219.4</v>
      </c>
      <c r="G7">
        <v>170.8</v>
      </c>
      <c r="H7">
        <v>165.8</v>
      </c>
      <c r="I7">
        <v>200.9</v>
      </c>
      <c r="J7">
        <v>169.7</v>
      </c>
      <c r="K7">
        <v>182.3</v>
      </c>
      <c r="L7">
        <v>164.3</v>
      </c>
      <c r="M7">
        <v>119.9</v>
      </c>
      <c r="N7">
        <v>187.1</v>
      </c>
      <c r="O7">
        <v>167.9</v>
      </c>
      <c r="P7">
        <v>183.9</v>
      </c>
      <c r="Q7">
        <v>174.9</v>
      </c>
      <c r="R7">
        <v>194.3</v>
      </c>
      <c r="S7">
        <v>177.1</v>
      </c>
      <c r="T7">
        <v>169.9</v>
      </c>
      <c r="U7">
        <v>176</v>
      </c>
      <c r="V7">
        <v>166.8</v>
      </c>
      <c r="W7">
        <v>176</v>
      </c>
      <c r="X7">
        <v>166.4</v>
      </c>
      <c r="Y7">
        <v>175.4</v>
      </c>
      <c r="Z7">
        <v>161.1</v>
      </c>
      <c r="AA7">
        <v>165.8</v>
      </c>
      <c r="AB7">
        <v>169</v>
      </c>
      <c r="AC7">
        <v>169.4</v>
      </c>
      <c r="AD7">
        <v>167.5</v>
      </c>
      <c r="AE7">
        <v>172.6</v>
      </c>
      <c r="AF7">
        <v>2261.9</v>
      </c>
      <c r="AG7">
        <v>335.20000000000005</v>
      </c>
      <c r="AH7">
        <v>523</v>
      </c>
      <c r="AI7">
        <v>333.20000000000005</v>
      </c>
      <c r="AJ7">
        <v>194.3</v>
      </c>
      <c r="AK7">
        <v>176</v>
      </c>
      <c r="AL7">
        <v>175.4</v>
      </c>
      <c r="AM7">
        <v>161.1</v>
      </c>
      <c r="AN7">
        <v>169</v>
      </c>
      <c r="AO7">
        <v>167.5</v>
      </c>
    </row>
    <row r="8" spans="1:41" x14ac:dyDescent="0.25">
      <c r="A8" t="s">
        <v>34</v>
      </c>
      <c r="B8">
        <v>2022</v>
      </c>
      <c r="C8" t="s">
        <v>40</v>
      </c>
      <c r="E8">
        <v>156.5</v>
      </c>
      <c r="F8">
        <v>213</v>
      </c>
      <c r="G8">
        <v>175.2</v>
      </c>
      <c r="H8">
        <v>166.6</v>
      </c>
      <c r="I8">
        <v>195.8</v>
      </c>
      <c r="J8">
        <v>174.2</v>
      </c>
      <c r="K8">
        <v>182.1</v>
      </c>
      <c r="L8">
        <v>164.3</v>
      </c>
      <c r="M8">
        <v>120</v>
      </c>
      <c r="N8">
        <v>190</v>
      </c>
      <c r="O8">
        <v>168.4</v>
      </c>
      <c r="P8">
        <v>185.2</v>
      </c>
      <c r="Q8">
        <v>175</v>
      </c>
      <c r="R8">
        <v>194.6</v>
      </c>
      <c r="S8">
        <v>178.3</v>
      </c>
      <c r="T8">
        <v>171.3</v>
      </c>
      <c r="U8">
        <v>177.3</v>
      </c>
      <c r="V8">
        <v>167.8</v>
      </c>
      <c r="W8">
        <v>179.6</v>
      </c>
      <c r="X8">
        <v>167.4</v>
      </c>
      <c r="Y8">
        <v>176.1</v>
      </c>
      <c r="Z8">
        <v>161.6</v>
      </c>
      <c r="AA8">
        <v>166.3</v>
      </c>
      <c r="AB8">
        <v>171.4</v>
      </c>
      <c r="AC8">
        <v>169.7</v>
      </c>
      <c r="AD8">
        <v>168.4</v>
      </c>
      <c r="AE8">
        <v>173.4</v>
      </c>
      <c r="AF8">
        <v>2266.3000000000002</v>
      </c>
      <c r="AG8">
        <v>336</v>
      </c>
      <c r="AH8">
        <v>526.90000000000009</v>
      </c>
      <c r="AI8">
        <v>335.20000000000005</v>
      </c>
      <c r="AJ8">
        <v>194.6</v>
      </c>
      <c r="AK8">
        <v>179.6</v>
      </c>
      <c r="AL8">
        <v>176.1</v>
      </c>
      <c r="AM8">
        <v>161.6</v>
      </c>
      <c r="AN8">
        <v>171.4</v>
      </c>
      <c r="AO8">
        <v>168.4</v>
      </c>
    </row>
    <row r="9" spans="1:41" x14ac:dyDescent="0.25">
      <c r="A9" t="s">
        <v>34</v>
      </c>
      <c r="B9">
        <v>2022</v>
      </c>
      <c r="C9" t="s">
        <v>41</v>
      </c>
      <c r="E9">
        <v>160.30000000000001</v>
      </c>
      <c r="F9">
        <v>206.5</v>
      </c>
      <c r="G9">
        <v>169.2</v>
      </c>
      <c r="H9">
        <v>168.1</v>
      </c>
      <c r="I9">
        <v>192.4</v>
      </c>
      <c r="J9">
        <v>172.9</v>
      </c>
      <c r="K9">
        <v>186.7</v>
      </c>
      <c r="L9">
        <v>167.2</v>
      </c>
      <c r="M9">
        <v>120.9</v>
      </c>
      <c r="N9">
        <v>193.6</v>
      </c>
      <c r="O9">
        <v>168.8</v>
      </c>
      <c r="P9">
        <v>186.3</v>
      </c>
      <c r="Q9">
        <v>176.3</v>
      </c>
      <c r="R9">
        <v>195</v>
      </c>
      <c r="S9">
        <v>179.5</v>
      </c>
      <c r="T9">
        <v>172.7</v>
      </c>
      <c r="U9">
        <v>178.5</v>
      </c>
      <c r="V9">
        <v>169</v>
      </c>
      <c r="W9">
        <v>178.8</v>
      </c>
      <c r="X9">
        <v>168.5</v>
      </c>
      <c r="Y9">
        <v>176.8</v>
      </c>
      <c r="Z9">
        <v>161.9</v>
      </c>
      <c r="AA9">
        <v>166.9</v>
      </c>
      <c r="AB9">
        <v>172.3</v>
      </c>
      <c r="AC9">
        <v>171.2</v>
      </c>
      <c r="AD9">
        <v>169.1</v>
      </c>
      <c r="AE9">
        <v>174.3</v>
      </c>
      <c r="AF9">
        <v>2269.2000000000003</v>
      </c>
      <c r="AG9">
        <v>338.1</v>
      </c>
      <c r="AH9">
        <v>530.70000000000005</v>
      </c>
      <c r="AI9">
        <v>337.5</v>
      </c>
      <c r="AJ9">
        <v>195</v>
      </c>
      <c r="AK9">
        <v>178.8</v>
      </c>
      <c r="AL9">
        <v>176.8</v>
      </c>
      <c r="AM9">
        <v>161.9</v>
      </c>
      <c r="AN9">
        <v>172.3</v>
      </c>
      <c r="AO9">
        <v>169.1</v>
      </c>
    </row>
    <row r="10" spans="1:41" x14ac:dyDescent="0.25">
      <c r="A10" t="s">
        <v>34</v>
      </c>
      <c r="B10">
        <v>2022</v>
      </c>
      <c r="C10" t="s">
        <v>42</v>
      </c>
      <c r="E10">
        <v>163.5</v>
      </c>
      <c r="F10">
        <v>209.2</v>
      </c>
      <c r="G10">
        <v>169.7</v>
      </c>
      <c r="H10">
        <v>169.7</v>
      </c>
      <c r="I10">
        <v>188.7</v>
      </c>
      <c r="J10">
        <v>165.7</v>
      </c>
      <c r="K10">
        <v>191.8</v>
      </c>
      <c r="L10">
        <v>169.1</v>
      </c>
      <c r="M10">
        <v>121.6</v>
      </c>
      <c r="N10">
        <v>197.3</v>
      </c>
      <c r="O10">
        <v>169.4</v>
      </c>
      <c r="P10">
        <v>187.4</v>
      </c>
      <c r="Q10">
        <v>177.8</v>
      </c>
      <c r="R10">
        <v>195.9</v>
      </c>
      <c r="S10">
        <v>180.9</v>
      </c>
      <c r="T10">
        <v>174.3</v>
      </c>
      <c r="U10">
        <v>179.9</v>
      </c>
      <c r="V10">
        <v>169.5</v>
      </c>
      <c r="W10">
        <v>179.5</v>
      </c>
      <c r="X10">
        <v>169.5</v>
      </c>
      <c r="Y10">
        <v>177.8</v>
      </c>
      <c r="Z10">
        <v>162.30000000000001</v>
      </c>
      <c r="AA10">
        <v>167.6</v>
      </c>
      <c r="AB10">
        <v>173.1</v>
      </c>
      <c r="AC10">
        <v>170.9</v>
      </c>
      <c r="AD10">
        <v>169.7</v>
      </c>
      <c r="AE10">
        <v>175.3</v>
      </c>
      <c r="AF10">
        <v>2280.9</v>
      </c>
      <c r="AG10">
        <v>338.5</v>
      </c>
      <c r="AH10">
        <v>535.1</v>
      </c>
      <c r="AI10">
        <v>339</v>
      </c>
      <c r="AJ10">
        <v>195.9</v>
      </c>
      <c r="AK10">
        <v>179.5</v>
      </c>
      <c r="AL10">
        <v>177.8</v>
      </c>
      <c r="AM10">
        <v>162.30000000000001</v>
      </c>
      <c r="AN10">
        <v>173.1</v>
      </c>
      <c r="AO10">
        <v>169.7</v>
      </c>
    </row>
    <row r="11" spans="1:41" x14ac:dyDescent="0.25">
      <c r="A11" t="s">
        <v>34</v>
      </c>
      <c r="B11">
        <v>2022</v>
      </c>
      <c r="C11" t="s">
        <v>43</v>
      </c>
      <c r="E11">
        <v>165.2</v>
      </c>
      <c r="F11">
        <v>210.9</v>
      </c>
      <c r="G11">
        <v>170.9</v>
      </c>
      <c r="H11">
        <v>170.9</v>
      </c>
      <c r="I11">
        <v>186.5</v>
      </c>
      <c r="J11">
        <v>163.80000000000001</v>
      </c>
      <c r="K11">
        <v>199.7</v>
      </c>
      <c r="L11">
        <v>169.8</v>
      </c>
      <c r="M11">
        <v>121.9</v>
      </c>
      <c r="N11">
        <v>199.9</v>
      </c>
      <c r="O11">
        <v>169.9</v>
      </c>
      <c r="P11">
        <v>188.3</v>
      </c>
      <c r="Q11">
        <v>179.6</v>
      </c>
      <c r="R11">
        <v>196.3</v>
      </c>
      <c r="S11">
        <v>181.9</v>
      </c>
      <c r="T11">
        <v>175.3</v>
      </c>
      <c r="U11">
        <v>181</v>
      </c>
      <c r="V11">
        <v>171.2</v>
      </c>
      <c r="W11">
        <v>180.5</v>
      </c>
      <c r="X11">
        <v>170.4</v>
      </c>
      <c r="Y11">
        <v>178.7</v>
      </c>
      <c r="Z11">
        <v>162.9</v>
      </c>
      <c r="AA11">
        <v>168.2</v>
      </c>
      <c r="AB11">
        <v>173.4</v>
      </c>
      <c r="AC11">
        <v>172.1</v>
      </c>
      <c r="AD11">
        <v>170.5</v>
      </c>
      <c r="AE11">
        <v>176.7</v>
      </c>
      <c r="AF11">
        <v>2297.3000000000002</v>
      </c>
      <c r="AG11">
        <v>340.29999999999995</v>
      </c>
      <c r="AH11">
        <v>538.20000000000005</v>
      </c>
      <c r="AI11">
        <v>341.6</v>
      </c>
      <c r="AJ11">
        <v>196.3</v>
      </c>
      <c r="AK11">
        <v>180.5</v>
      </c>
      <c r="AL11">
        <v>178.7</v>
      </c>
      <c r="AM11">
        <v>162.9</v>
      </c>
      <c r="AN11">
        <v>173.4</v>
      </c>
      <c r="AO11">
        <v>170.5</v>
      </c>
    </row>
    <row r="12" spans="1:41" x14ac:dyDescent="0.25">
      <c r="A12" t="s">
        <v>34</v>
      </c>
      <c r="B12">
        <v>2022</v>
      </c>
      <c r="C12" t="s">
        <v>45</v>
      </c>
      <c r="E12">
        <v>167.4</v>
      </c>
      <c r="F12">
        <v>209.4</v>
      </c>
      <c r="G12">
        <v>181.4</v>
      </c>
      <c r="H12">
        <v>172.3</v>
      </c>
      <c r="I12">
        <v>188.9</v>
      </c>
      <c r="J12">
        <v>160.69999999999999</v>
      </c>
      <c r="K12">
        <v>183.1</v>
      </c>
      <c r="L12">
        <v>170.5</v>
      </c>
      <c r="M12">
        <v>122.1</v>
      </c>
      <c r="N12">
        <v>202.8</v>
      </c>
      <c r="O12">
        <v>170.4</v>
      </c>
      <c r="P12">
        <v>189.5</v>
      </c>
      <c r="Q12">
        <v>178.3</v>
      </c>
      <c r="R12">
        <v>196.9</v>
      </c>
      <c r="S12">
        <v>183.1</v>
      </c>
      <c r="T12">
        <v>176.2</v>
      </c>
      <c r="U12">
        <v>182.1</v>
      </c>
      <c r="V12">
        <v>171.8</v>
      </c>
      <c r="W12">
        <v>181.3</v>
      </c>
      <c r="X12">
        <v>171.4</v>
      </c>
      <c r="Y12">
        <v>179.8</v>
      </c>
      <c r="Z12">
        <v>163</v>
      </c>
      <c r="AA12">
        <v>168.5</v>
      </c>
      <c r="AB12">
        <v>173.7</v>
      </c>
      <c r="AC12">
        <v>173.6</v>
      </c>
      <c r="AD12">
        <v>171.1</v>
      </c>
      <c r="AE12">
        <v>176.5</v>
      </c>
      <c r="AF12">
        <v>2296.8000000000002</v>
      </c>
      <c r="AG12">
        <v>342.1</v>
      </c>
      <c r="AH12">
        <v>541.4</v>
      </c>
      <c r="AI12">
        <v>343.20000000000005</v>
      </c>
      <c r="AJ12">
        <v>196.9</v>
      </c>
      <c r="AK12">
        <v>181.3</v>
      </c>
      <c r="AL12">
        <v>179.8</v>
      </c>
      <c r="AM12">
        <v>163</v>
      </c>
      <c r="AN12">
        <v>173.7</v>
      </c>
      <c r="AO12">
        <v>171.1</v>
      </c>
    </row>
    <row r="13" spans="1:41" x14ac:dyDescent="0.25">
      <c r="A13" t="s">
        <v>34</v>
      </c>
      <c r="B13">
        <v>2022</v>
      </c>
      <c r="C13" t="s">
        <v>46</v>
      </c>
      <c r="E13">
        <v>169.2</v>
      </c>
      <c r="F13">
        <v>209</v>
      </c>
      <c r="G13">
        <v>190.2</v>
      </c>
      <c r="H13">
        <v>173.6</v>
      </c>
      <c r="I13">
        <v>188.5</v>
      </c>
      <c r="J13">
        <v>158</v>
      </c>
      <c r="K13">
        <v>159.9</v>
      </c>
      <c r="L13">
        <v>170.8</v>
      </c>
      <c r="M13">
        <v>121.8</v>
      </c>
      <c r="N13">
        <v>205.2</v>
      </c>
      <c r="O13">
        <v>171</v>
      </c>
      <c r="P13">
        <v>190.3</v>
      </c>
      <c r="Q13">
        <v>175.9</v>
      </c>
      <c r="R13">
        <v>197.3</v>
      </c>
      <c r="S13">
        <v>184</v>
      </c>
      <c r="T13">
        <v>177</v>
      </c>
      <c r="U13">
        <v>183</v>
      </c>
      <c r="V13">
        <v>170.7</v>
      </c>
      <c r="W13">
        <v>182</v>
      </c>
      <c r="X13">
        <v>172.1</v>
      </c>
      <c r="Y13">
        <v>181.1</v>
      </c>
      <c r="Z13">
        <v>163.4</v>
      </c>
      <c r="AA13">
        <v>168.9</v>
      </c>
      <c r="AB13">
        <v>174.1</v>
      </c>
      <c r="AC13">
        <v>175.8</v>
      </c>
      <c r="AD13">
        <v>172</v>
      </c>
      <c r="AE13">
        <v>175.7</v>
      </c>
      <c r="AF13">
        <v>2283.4</v>
      </c>
      <c r="AG13">
        <v>344.70000000000005</v>
      </c>
      <c r="AH13">
        <v>544</v>
      </c>
      <c r="AI13">
        <v>342.79999999999995</v>
      </c>
      <c r="AJ13">
        <v>197.3</v>
      </c>
      <c r="AK13">
        <v>182</v>
      </c>
      <c r="AL13">
        <v>181.1</v>
      </c>
      <c r="AM13">
        <v>163.4</v>
      </c>
      <c r="AN13">
        <v>174.1</v>
      </c>
      <c r="AO13">
        <v>172</v>
      </c>
    </row>
    <row r="14" spans="1:41" x14ac:dyDescent="0.25">
      <c r="A14" t="s">
        <v>34</v>
      </c>
      <c r="B14">
        <v>2023</v>
      </c>
      <c r="C14" t="s">
        <v>31</v>
      </c>
      <c r="E14">
        <v>173.8</v>
      </c>
      <c r="F14">
        <v>210.7</v>
      </c>
      <c r="G14">
        <v>194.5</v>
      </c>
      <c r="H14">
        <v>174.6</v>
      </c>
      <c r="I14">
        <v>187.2</v>
      </c>
      <c r="J14">
        <v>158.30000000000001</v>
      </c>
      <c r="K14">
        <v>153.9</v>
      </c>
      <c r="L14">
        <v>170.9</v>
      </c>
      <c r="M14">
        <v>121.1</v>
      </c>
      <c r="N14">
        <v>208.4</v>
      </c>
      <c r="O14">
        <v>171.4</v>
      </c>
      <c r="P14">
        <v>191.2</v>
      </c>
      <c r="Q14">
        <v>176.7</v>
      </c>
      <c r="R14">
        <v>198.2</v>
      </c>
      <c r="S14">
        <v>184.9</v>
      </c>
      <c r="T14">
        <v>177.6</v>
      </c>
      <c r="U14">
        <v>183.8</v>
      </c>
      <c r="V14">
        <v>172.1</v>
      </c>
      <c r="W14">
        <v>182</v>
      </c>
      <c r="X14">
        <v>172.9</v>
      </c>
      <c r="Y14">
        <v>182.3</v>
      </c>
      <c r="Z14">
        <v>163.6</v>
      </c>
      <c r="AA14">
        <v>169.5</v>
      </c>
      <c r="AB14">
        <v>174.3</v>
      </c>
      <c r="AC14">
        <v>178.6</v>
      </c>
      <c r="AD14">
        <v>172.8</v>
      </c>
      <c r="AE14">
        <v>176.5</v>
      </c>
      <c r="AF14">
        <v>2292.6999999999998</v>
      </c>
      <c r="AG14">
        <v>348.1</v>
      </c>
      <c r="AH14">
        <v>546.29999999999995</v>
      </c>
      <c r="AI14">
        <v>345</v>
      </c>
      <c r="AJ14">
        <v>198.2</v>
      </c>
      <c r="AK14">
        <v>182</v>
      </c>
      <c r="AL14">
        <v>182.3</v>
      </c>
      <c r="AM14">
        <v>163.6</v>
      </c>
      <c r="AN14">
        <v>174.3</v>
      </c>
      <c r="AO14">
        <v>172.8</v>
      </c>
    </row>
    <row r="15" spans="1:41" x14ac:dyDescent="0.25">
      <c r="A15" t="s">
        <v>34</v>
      </c>
      <c r="B15">
        <v>2023</v>
      </c>
      <c r="C15" t="s">
        <v>35</v>
      </c>
      <c r="E15">
        <v>174.4</v>
      </c>
      <c r="F15">
        <v>207.7</v>
      </c>
      <c r="G15">
        <v>175.2</v>
      </c>
      <c r="H15">
        <v>177.3</v>
      </c>
      <c r="I15">
        <v>179.3</v>
      </c>
      <c r="J15">
        <v>169.5</v>
      </c>
      <c r="K15">
        <v>152.69999999999999</v>
      </c>
      <c r="L15">
        <v>171</v>
      </c>
      <c r="M15">
        <v>120</v>
      </c>
      <c r="N15">
        <v>209.7</v>
      </c>
      <c r="O15">
        <v>172.3</v>
      </c>
      <c r="P15">
        <v>193</v>
      </c>
      <c r="Q15">
        <v>177</v>
      </c>
      <c r="R15">
        <v>199.5</v>
      </c>
      <c r="S15">
        <v>186.2</v>
      </c>
      <c r="T15">
        <v>178.7</v>
      </c>
      <c r="U15">
        <v>185.1</v>
      </c>
      <c r="V15">
        <v>173.5</v>
      </c>
      <c r="W15">
        <v>182.1</v>
      </c>
      <c r="X15">
        <v>174.2</v>
      </c>
      <c r="Y15">
        <v>184.4</v>
      </c>
      <c r="Z15">
        <v>164.2</v>
      </c>
      <c r="AA15">
        <v>170.3</v>
      </c>
      <c r="AB15">
        <v>175</v>
      </c>
      <c r="AC15">
        <v>181</v>
      </c>
      <c r="AD15">
        <v>174.1</v>
      </c>
      <c r="AE15">
        <v>177.2</v>
      </c>
      <c r="AF15">
        <v>2279.1</v>
      </c>
      <c r="AG15">
        <v>351.3</v>
      </c>
      <c r="AH15">
        <v>550</v>
      </c>
      <c r="AI15">
        <v>347.7</v>
      </c>
      <c r="AJ15">
        <v>199.5</v>
      </c>
      <c r="AK15">
        <v>182.1</v>
      </c>
      <c r="AL15">
        <v>184.4</v>
      </c>
      <c r="AM15">
        <v>164.2</v>
      </c>
      <c r="AN15">
        <v>175</v>
      </c>
      <c r="AO15">
        <v>174.1</v>
      </c>
    </row>
    <row r="16" spans="1:41" x14ac:dyDescent="0.25">
      <c r="A16" t="s">
        <v>34</v>
      </c>
      <c r="B16">
        <v>2023</v>
      </c>
      <c r="C16" t="s">
        <v>36</v>
      </c>
      <c r="E16">
        <v>174.4</v>
      </c>
      <c r="F16">
        <v>207.7</v>
      </c>
      <c r="G16">
        <v>175.2</v>
      </c>
      <c r="H16">
        <v>177.3</v>
      </c>
      <c r="I16">
        <v>179.2</v>
      </c>
      <c r="J16">
        <v>169.5</v>
      </c>
      <c r="K16">
        <v>152.80000000000001</v>
      </c>
      <c r="L16">
        <v>171.1</v>
      </c>
      <c r="M16">
        <v>120</v>
      </c>
      <c r="N16">
        <v>209.7</v>
      </c>
      <c r="O16">
        <v>172.3</v>
      </c>
      <c r="P16">
        <v>193</v>
      </c>
      <c r="Q16">
        <v>177</v>
      </c>
      <c r="R16">
        <v>199.5</v>
      </c>
      <c r="S16">
        <v>186.1</v>
      </c>
      <c r="T16">
        <v>178.7</v>
      </c>
      <c r="U16">
        <v>185.1</v>
      </c>
      <c r="V16">
        <v>173.5</v>
      </c>
      <c r="W16">
        <v>181.9</v>
      </c>
      <c r="X16">
        <v>174.2</v>
      </c>
      <c r="Y16">
        <v>184.4</v>
      </c>
      <c r="Z16">
        <v>164.2</v>
      </c>
      <c r="AA16">
        <v>170.3</v>
      </c>
      <c r="AB16">
        <v>175</v>
      </c>
      <c r="AC16">
        <v>181</v>
      </c>
      <c r="AD16">
        <v>174.1</v>
      </c>
      <c r="AE16">
        <v>177.2</v>
      </c>
      <c r="AF16">
        <v>2279.1999999999998</v>
      </c>
      <c r="AG16">
        <v>351.3</v>
      </c>
      <c r="AH16">
        <v>549.9</v>
      </c>
      <c r="AI16">
        <v>347.7</v>
      </c>
      <c r="AJ16">
        <v>199.5</v>
      </c>
      <c r="AK16">
        <v>181.9</v>
      </c>
      <c r="AL16">
        <v>184.4</v>
      </c>
      <c r="AM16">
        <v>164.2</v>
      </c>
      <c r="AN16">
        <v>175</v>
      </c>
      <c r="AO16">
        <v>174.1</v>
      </c>
    </row>
    <row r="17" spans="1:41" x14ac:dyDescent="0.25">
      <c r="A17" t="s">
        <v>34</v>
      </c>
      <c r="B17">
        <v>2023</v>
      </c>
      <c r="C17" t="s">
        <v>37</v>
      </c>
      <c r="E17">
        <v>173.8</v>
      </c>
      <c r="F17">
        <v>209.3</v>
      </c>
      <c r="G17">
        <v>169.6</v>
      </c>
      <c r="H17">
        <v>178.4</v>
      </c>
      <c r="I17">
        <v>174.9</v>
      </c>
      <c r="J17">
        <v>176.3</v>
      </c>
      <c r="K17">
        <v>155.4</v>
      </c>
      <c r="L17">
        <v>173.4</v>
      </c>
      <c r="M17">
        <v>121.3</v>
      </c>
      <c r="N17">
        <v>212.9</v>
      </c>
      <c r="O17">
        <v>172.9</v>
      </c>
      <c r="P17">
        <v>193.5</v>
      </c>
      <c r="Q17">
        <v>177.9</v>
      </c>
      <c r="R17">
        <v>200.6</v>
      </c>
      <c r="S17">
        <v>186.9</v>
      </c>
      <c r="T17">
        <v>179.2</v>
      </c>
      <c r="U17">
        <v>185.7</v>
      </c>
      <c r="V17">
        <v>175.2</v>
      </c>
      <c r="W17">
        <v>181.7</v>
      </c>
      <c r="X17">
        <v>174.6</v>
      </c>
      <c r="Y17">
        <v>185</v>
      </c>
      <c r="Z17">
        <v>164.5</v>
      </c>
      <c r="AA17">
        <v>170.7</v>
      </c>
      <c r="AB17">
        <v>176.4</v>
      </c>
      <c r="AC17">
        <v>184</v>
      </c>
      <c r="AD17">
        <v>175</v>
      </c>
      <c r="AE17">
        <v>178.1</v>
      </c>
      <c r="AF17">
        <v>2289.6000000000004</v>
      </c>
      <c r="AG17">
        <v>354.7</v>
      </c>
      <c r="AH17">
        <v>551.79999999999995</v>
      </c>
      <c r="AI17">
        <v>349.79999999999995</v>
      </c>
      <c r="AJ17">
        <v>200.6</v>
      </c>
      <c r="AK17">
        <v>181.7</v>
      </c>
      <c r="AL17">
        <v>185</v>
      </c>
      <c r="AM17">
        <v>164.5</v>
      </c>
      <c r="AN17">
        <v>176.4</v>
      </c>
      <c r="AO17">
        <v>175</v>
      </c>
    </row>
    <row r="18" spans="1:41" x14ac:dyDescent="0.25">
      <c r="A18" t="s">
        <v>34</v>
      </c>
      <c r="B18">
        <v>2023</v>
      </c>
      <c r="C18" t="s">
        <v>38</v>
      </c>
      <c r="E18">
        <v>173.7</v>
      </c>
      <c r="F18">
        <v>214.3</v>
      </c>
      <c r="G18">
        <v>173.2</v>
      </c>
      <c r="H18">
        <v>179.5</v>
      </c>
      <c r="I18">
        <v>170</v>
      </c>
      <c r="J18">
        <v>172.2</v>
      </c>
      <c r="K18">
        <v>161</v>
      </c>
      <c r="L18">
        <v>175.6</v>
      </c>
      <c r="M18">
        <v>122.7</v>
      </c>
      <c r="N18">
        <v>218</v>
      </c>
      <c r="O18">
        <v>173.4</v>
      </c>
      <c r="P18">
        <v>194.2</v>
      </c>
      <c r="Q18">
        <v>179.1</v>
      </c>
      <c r="R18">
        <v>201</v>
      </c>
      <c r="S18">
        <v>187.3</v>
      </c>
      <c r="T18">
        <v>179.7</v>
      </c>
      <c r="U18">
        <v>186.2</v>
      </c>
      <c r="V18">
        <v>175.6</v>
      </c>
      <c r="W18">
        <v>182.8</v>
      </c>
      <c r="X18">
        <v>175.2</v>
      </c>
      <c r="Y18">
        <v>185.7</v>
      </c>
      <c r="Z18">
        <v>164.8</v>
      </c>
      <c r="AA18">
        <v>171.2</v>
      </c>
      <c r="AB18">
        <v>177.1</v>
      </c>
      <c r="AC18">
        <v>185.2</v>
      </c>
      <c r="AD18">
        <v>175.7</v>
      </c>
      <c r="AE18">
        <v>179.1</v>
      </c>
      <c r="AF18">
        <v>2306.9</v>
      </c>
      <c r="AG18">
        <v>356.4</v>
      </c>
      <c r="AH18">
        <v>553.20000000000005</v>
      </c>
      <c r="AI18">
        <v>350.79999999999995</v>
      </c>
      <c r="AJ18">
        <v>201</v>
      </c>
      <c r="AK18">
        <v>182.8</v>
      </c>
      <c r="AL18">
        <v>185.7</v>
      </c>
      <c r="AM18">
        <v>164.8</v>
      </c>
      <c r="AN18">
        <v>177.1</v>
      </c>
      <c r="AO18">
        <v>175.7</v>
      </c>
    </row>
    <row r="21" spans="1:41" x14ac:dyDescent="0.25">
      <c r="A21" t="s">
        <v>0</v>
      </c>
      <c r="B21" s="1" t="s">
        <v>1</v>
      </c>
      <c r="C21" s="1" t="s">
        <v>2</v>
      </c>
      <c r="D21" s="1"/>
      <c r="E21" s="1" t="s">
        <v>3</v>
      </c>
      <c r="F21" s="1" t="s">
        <v>4</v>
      </c>
      <c r="G21" s="1" t="s">
        <v>5</v>
      </c>
      <c r="H21" s="1" t="s">
        <v>6</v>
      </c>
      <c r="I21" s="1" t="s">
        <v>7</v>
      </c>
      <c r="J21" s="1" t="s">
        <v>8</v>
      </c>
      <c r="K21" s="1" t="s">
        <v>9</v>
      </c>
      <c r="L21" s="1" t="s">
        <v>10</v>
      </c>
      <c r="M21" s="1" t="s">
        <v>11</v>
      </c>
      <c r="N21" s="1" t="s">
        <v>12</v>
      </c>
      <c r="O21" s="1" t="s">
        <v>13</v>
      </c>
      <c r="P21" s="1" t="s">
        <v>14</v>
      </c>
      <c r="Q21" s="1" t="s">
        <v>15</v>
      </c>
    </row>
    <row r="22" spans="1:41" x14ac:dyDescent="0.25">
      <c r="A22" t="s">
        <v>34</v>
      </c>
      <c r="B22">
        <v>2022</v>
      </c>
      <c r="C22" t="s">
        <v>39</v>
      </c>
      <c r="E22" s="4">
        <f t="shared" ref="E22:Q22" si="0">((E7-E6)/E6)*100</f>
        <v>0.58403634003893945</v>
      </c>
      <c r="F22" s="4">
        <f t="shared" si="0"/>
        <v>1.1059907834101408</v>
      </c>
      <c r="G22" s="4">
        <f t="shared" si="0"/>
        <v>5.172413793103452</v>
      </c>
      <c r="H22" s="4">
        <f t="shared" si="0"/>
        <v>0.54578532443905736</v>
      </c>
      <c r="I22" s="4">
        <f t="shared" si="0"/>
        <v>-0.74110671936758887</v>
      </c>
      <c r="J22" s="4">
        <f t="shared" si="0"/>
        <v>-0.76023391812866159</v>
      </c>
      <c r="K22" s="4">
        <f t="shared" si="0"/>
        <v>4.2309891366495167</v>
      </c>
      <c r="L22" s="4">
        <f t="shared" si="0"/>
        <v>-0.24286581663629467</v>
      </c>
      <c r="M22" s="4">
        <f t="shared" si="0"/>
        <v>0.16708437761069578</v>
      </c>
      <c r="N22" s="4">
        <f t="shared" si="0"/>
        <v>1.1898323418063756</v>
      </c>
      <c r="O22" s="4">
        <f t="shared" si="0"/>
        <v>0.47875523638540479</v>
      </c>
      <c r="P22" s="4">
        <f t="shared" si="0"/>
        <v>0.76712328767123594</v>
      </c>
      <c r="Q22" s="4">
        <f t="shared" si="0"/>
        <v>0.92325447201384547</v>
      </c>
    </row>
    <row r="23" spans="1:41" x14ac:dyDescent="0.25">
      <c r="A23" t="s">
        <v>34</v>
      </c>
      <c r="B23">
        <v>2022</v>
      </c>
      <c r="C23" t="s">
        <v>40</v>
      </c>
      <c r="E23" s="2">
        <v>0.967741935483871</v>
      </c>
      <c r="F23" s="2">
        <v>-2.9170464904284437</v>
      </c>
      <c r="G23" s="2">
        <v>2.5761124121779724</v>
      </c>
      <c r="H23" s="2">
        <v>0.48250904704462172</v>
      </c>
      <c r="I23" s="2">
        <v>-2.538576406172222</v>
      </c>
      <c r="J23" s="2">
        <v>2.6517383618149681</v>
      </c>
      <c r="K23" s="2">
        <v>-0.10970927043336097</v>
      </c>
      <c r="L23" s="2">
        <v>0</v>
      </c>
      <c r="M23" s="2">
        <v>8.3402835696408939E-2</v>
      </c>
      <c r="N23" s="2">
        <v>1.5499732763228251</v>
      </c>
      <c r="O23" s="2">
        <v>0.29779630732578916</v>
      </c>
      <c r="P23" s="2">
        <v>0.70690592713430289</v>
      </c>
      <c r="Q23" s="2">
        <v>5.7175528873638831E-2</v>
      </c>
    </row>
    <row r="24" spans="1:41" x14ac:dyDescent="0.25">
      <c r="A24" t="s">
        <v>34</v>
      </c>
      <c r="B24">
        <v>2022</v>
      </c>
      <c r="C24" t="s">
        <v>41</v>
      </c>
      <c r="E24" s="2">
        <v>2.4281150159744485</v>
      </c>
      <c r="F24" s="2">
        <v>-3.051643192488263</v>
      </c>
      <c r="G24" s="2">
        <v>-3.4246575342465757</v>
      </c>
      <c r="H24" s="2">
        <v>0.90036014405762299</v>
      </c>
      <c r="I24" s="2">
        <v>-1.7364657814096043</v>
      </c>
      <c r="J24" s="2">
        <v>-0.74626865671640819</v>
      </c>
      <c r="K24" s="2">
        <v>2.5260845689181735</v>
      </c>
      <c r="L24" s="2">
        <v>1.7650639074862917</v>
      </c>
      <c r="M24" s="2">
        <v>0.75000000000000477</v>
      </c>
      <c r="N24" s="2">
        <v>1.8947368421052602</v>
      </c>
      <c r="O24" s="2">
        <v>0.23752969121140477</v>
      </c>
      <c r="P24" s="2">
        <v>0.59395248380130827</v>
      </c>
      <c r="Q24" s="2">
        <v>0.74285714285714932</v>
      </c>
    </row>
    <row r="25" spans="1:41" x14ac:dyDescent="0.25">
      <c r="A25" t="s">
        <v>34</v>
      </c>
      <c r="B25">
        <v>2022</v>
      </c>
      <c r="C25" t="s">
        <v>42</v>
      </c>
      <c r="E25" s="2">
        <v>1.9962570180910719</v>
      </c>
      <c r="F25" s="2">
        <v>1.3075060532687597</v>
      </c>
      <c r="G25" s="2">
        <v>0.29550827423167852</v>
      </c>
      <c r="H25" s="2">
        <v>0.951814396192739</v>
      </c>
      <c r="I25" s="2">
        <v>-1.9230769230769318</v>
      </c>
      <c r="J25" s="2">
        <v>-4.1642567958357528</v>
      </c>
      <c r="K25" s="2">
        <v>2.7316550615961557</v>
      </c>
      <c r="L25" s="2">
        <v>1.1363636363636398</v>
      </c>
      <c r="M25" s="2">
        <v>0.57899090157153732</v>
      </c>
      <c r="N25" s="2">
        <v>1.9111570247933973</v>
      </c>
      <c r="O25" s="2">
        <v>0.35545023696682126</v>
      </c>
      <c r="P25" s="2">
        <v>0.59044551798174671</v>
      </c>
      <c r="Q25" s="2">
        <v>0.85082246171298925</v>
      </c>
    </row>
    <row r="26" spans="1:41" x14ac:dyDescent="0.25">
      <c r="A26" t="s">
        <v>34</v>
      </c>
      <c r="B26">
        <v>2022</v>
      </c>
      <c r="C26" t="s">
        <v>43</v>
      </c>
      <c r="E26" s="2">
        <v>1.0397553516819502</v>
      </c>
      <c r="F26" s="2">
        <v>0.81261950286807705</v>
      </c>
      <c r="G26" s="2">
        <v>0.70713022981733475</v>
      </c>
      <c r="H26" s="2">
        <v>0.70713022981733475</v>
      </c>
      <c r="I26" s="2">
        <v>-1.1658717541070422</v>
      </c>
      <c r="J26" s="2">
        <v>-1.146650573325273</v>
      </c>
      <c r="K26" s="2">
        <v>4.1188738269030116</v>
      </c>
      <c r="L26" s="2">
        <v>0.41395623891189659</v>
      </c>
      <c r="M26" s="2">
        <v>0.24671052631579882</v>
      </c>
      <c r="N26" s="2">
        <v>1.3177901672579797</v>
      </c>
      <c r="O26" s="2">
        <v>0.29515938606847697</v>
      </c>
      <c r="P26" s="2">
        <v>0.48025613660619304</v>
      </c>
      <c r="Q26" s="2">
        <v>1.0123734533183255</v>
      </c>
    </row>
    <row r="27" spans="1:41" x14ac:dyDescent="0.25">
      <c r="A27" t="s">
        <v>34</v>
      </c>
      <c r="B27">
        <v>2022</v>
      </c>
      <c r="C27" t="s">
        <v>45</v>
      </c>
      <c r="E27" s="2">
        <v>1.3317191283293082</v>
      </c>
      <c r="F27" s="2">
        <v>-0.71123755334281646</v>
      </c>
      <c r="G27" s="2">
        <v>6.1439438267992976</v>
      </c>
      <c r="H27" s="2">
        <v>0.81919251023990969</v>
      </c>
      <c r="I27" s="2">
        <v>1.286863270777483</v>
      </c>
      <c r="J27" s="2">
        <v>-1.8925518925519063</v>
      </c>
      <c r="K27" s="2">
        <v>-8.312468703054579</v>
      </c>
      <c r="L27" s="2">
        <v>0.41224970553591794</v>
      </c>
      <c r="M27" s="2">
        <v>0.16406890894174619</v>
      </c>
      <c r="N27" s="2">
        <v>1.4507253626813434</v>
      </c>
      <c r="O27" s="2">
        <v>0.29429075927015891</v>
      </c>
      <c r="P27" s="2">
        <v>0.63728093467869806</v>
      </c>
      <c r="Q27" s="2">
        <v>-0.7238307349665829</v>
      </c>
    </row>
    <row r="28" spans="1:41" x14ac:dyDescent="0.25">
      <c r="A28" t="s">
        <v>34</v>
      </c>
      <c r="B28">
        <v>2022</v>
      </c>
      <c r="C28" t="s">
        <v>46</v>
      </c>
      <c r="E28" s="2">
        <v>1.075268817204291</v>
      </c>
      <c r="F28" s="2">
        <v>-0.19102196752626824</v>
      </c>
      <c r="G28" s="2">
        <v>4.8511576626240256</v>
      </c>
      <c r="H28" s="2">
        <v>0.75449796865930518</v>
      </c>
      <c r="I28" s="2">
        <v>-0.21175224986765784</v>
      </c>
      <c r="J28" s="2">
        <v>-1.6801493466085806</v>
      </c>
      <c r="K28" s="2">
        <v>-12.670671764063348</v>
      </c>
      <c r="L28" s="2">
        <v>0.1759530791788923</v>
      </c>
      <c r="M28" s="2">
        <v>-0.2457002457002434</v>
      </c>
      <c r="N28" s="2">
        <v>1.1834319526627106</v>
      </c>
      <c r="O28" s="2">
        <v>0.35211267605633467</v>
      </c>
      <c r="P28" s="2">
        <v>0.42216358839050727</v>
      </c>
      <c r="Q28" s="2">
        <v>-1.3460459899046582</v>
      </c>
    </row>
    <row r="29" spans="1:41" x14ac:dyDescent="0.25">
      <c r="A29" t="s">
        <v>34</v>
      </c>
      <c r="B29">
        <v>2023</v>
      </c>
      <c r="C29" t="s">
        <v>31</v>
      </c>
      <c r="E29" s="2">
        <v>2.7186761229314556</v>
      </c>
      <c r="F29" s="2">
        <v>0.81339712918659746</v>
      </c>
      <c r="G29" s="2">
        <v>2.2607781282860206</v>
      </c>
      <c r="H29" s="2">
        <v>0.57603686635944706</v>
      </c>
      <c r="I29" s="2">
        <v>-0.68965517241379914</v>
      </c>
      <c r="J29" s="2">
        <v>0.18987341772152619</v>
      </c>
      <c r="K29" s="2">
        <v>-3.7523452157598496</v>
      </c>
      <c r="L29" s="2">
        <v>5.8548009367678171E-2</v>
      </c>
      <c r="M29" s="2">
        <v>-0.57471264367816322</v>
      </c>
      <c r="N29" s="2">
        <v>1.5594541910331468</v>
      </c>
      <c r="O29" s="2">
        <v>0.23391812865497411</v>
      </c>
      <c r="P29" s="2">
        <v>0.47293746715710833</v>
      </c>
      <c r="Q29" s="2">
        <v>0.45480386583284982</v>
      </c>
    </row>
    <row r="30" spans="1:41" x14ac:dyDescent="0.25">
      <c r="A30" t="s">
        <v>34</v>
      </c>
      <c r="B30">
        <v>2023</v>
      </c>
      <c r="C30" t="s">
        <v>35</v>
      </c>
      <c r="E30" s="2">
        <v>0.34522439585730397</v>
      </c>
      <c r="F30" s="2">
        <v>-1.423825344091125</v>
      </c>
      <c r="G30" s="2">
        <v>-9.922879177377899</v>
      </c>
      <c r="H30" s="2">
        <v>1.5463917525773294</v>
      </c>
      <c r="I30" s="2">
        <v>-4.2200854700854578</v>
      </c>
      <c r="J30" s="2">
        <v>7.0751737207833152</v>
      </c>
      <c r="K30" s="2">
        <v>-0.77972709551658026</v>
      </c>
      <c r="L30" s="2">
        <v>5.8513750731418554E-2</v>
      </c>
      <c r="M30" s="2">
        <v>-0.90834021469859161</v>
      </c>
      <c r="N30" s="2">
        <v>0.62380038387715109</v>
      </c>
      <c r="O30" s="2">
        <v>0.52508751458576763</v>
      </c>
      <c r="P30" s="2">
        <v>0.94142259414226537</v>
      </c>
      <c r="Q30" s="2">
        <v>0.16977928692700134</v>
      </c>
    </row>
    <row r="31" spans="1:41" x14ac:dyDescent="0.25">
      <c r="A31" t="s">
        <v>34</v>
      </c>
      <c r="B31">
        <v>2023</v>
      </c>
      <c r="C31" t="s">
        <v>36</v>
      </c>
      <c r="E31" s="2">
        <v>0</v>
      </c>
      <c r="F31" s="2">
        <v>0</v>
      </c>
      <c r="G31" s="2">
        <v>0</v>
      </c>
      <c r="H31" s="2">
        <v>0</v>
      </c>
      <c r="I31" s="2">
        <v>-5.5772448410497895E-2</v>
      </c>
      <c r="J31" s="2">
        <v>0</v>
      </c>
      <c r="K31" s="2">
        <v>6.5487884741337751E-2</v>
      </c>
      <c r="L31" s="2">
        <v>5.8479532163739363E-2</v>
      </c>
      <c r="M31" s="2">
        <v>0</v>
      </c>
      <c r="N31" s="2">
        <v>0</v>
      </c>
      <c r="O31" s="2">
        <v>0</v>
      </c>
      <c r="P31" s="2">
        <v>0</v>
      </c>
      <c r="Q31" s="2">
        <v>0</v>
      </c>
    </row>
    <row r="32" spans="1:41" x14ac:dyDescent="0.25">
      <c r="A32" t="s">
        <v>34</v>
      </c>
      <c r="B32">
        <v>2023</v>
      </c>
      <c r="C32" t="s">
        <v>37</v>
      </c>
      <c r="E32" s="2">
        <v>-0.34403669724770314</v>
      </c>
      <c r="F32" s="2">
        <v>0.77034183919115207</v>
      </c>
      <c r="G32" s="2">
        <v>-3.1963470319634673</v>
      </c>
      <c r="H32" s="2">
        <v>0.62041737168640398</v>
      </c>
      <c r="I32" s="2">
        <v>-2.3995535714285623</v>
      </c>
      <c r="J32" s="2">
        <v>4.0117994100295054</v>
      </c>
      <c r="K32" s="2">
        <v>1.7015706806282684</v>
      </c>
      <c r="L32" s="2">
        <v>1.3442431326709592</v>
      </c>
      <c r="M32" s="2">
        <v>1.083333333333331</v>
      </c>
      <c r="N32" s="2">
        <v>1.5259895088221351</v>
      </c>
      <c r="O32" s="2">
        <v>0.34822983168891136</v>
      </c>
      <c r="P32" s="2">
        <v>0.2590673575129534</v>
      </c>
      <c r="Q32" s="2">
        <v>0.50847457627118964</v>
      </c>
    </row>
    <row r="33" spans="1:17" x14ac:dyDescent="0.25">
      <c r="A33" t="s">
        <v>34</v>
      </c>
      <c r="B33">
        <v>2023</v>
      </c>
      <c r="C33" t="s">
        <v>38</v>
      </c>
      <c r="E33" s="2">
        <v>-5.7537399309564287E-2</v>
      </c>
      <c r="F33" s="2">
        <v>2.3889154323936932</v>
      </c>
      <c r="G33" s="2">
        <v>2.1226415094339588</v>
      </c>
      <c r="H33" s="2">
        <v>0.61659192825111786</v>
      </c>
      <c r="I33" s="2">
        <v>-2.8016009148084651</v>
      </c>
      <c r="J33" s="2">
        <v>-2.3255813953488502</v>
      </c>
      <c r="K33" s="2">
        <v>3.6036036036036001</v>
      </c>
      <c r="L33" s="2">
        <v>1.268742791234134</v>
      </c>
      <c r="M33" s="2">
        <v>1.1541632316570534</v>
      </c>
      <c r="N33" s="2">
        <v>2.3954908407703117</v>
      </c>
      <c r="O33" s="2">
        <v>0.2891844997108155</v>
      </c>
      <c r="P33" s="2">
        <v>0.36175710594314658</v>
      </c>
      <c r="Q33" s="2">
        <v>0.6745362563237709</v>
      </c>
    </row>
    <row r="34" spans="1:17" x14ac:dyDescent="0.25">
      <c r="C34" s="5" t="s">
        <v>61</v>
      </c>
      <c r="E34">
        <v>12.09</v>
      </c>
      <c r="F34" s="2">
        <v>-1.0960038075584961</v>
      </c>
      <c r="G34" s="2">
        <v>7.585802092885797</v>
      </c>
      <c r="H34" s="2">
        <v>8.5207275393248896</v>
      </c>
      <c r="I34" s="2">
        <v>-17.196654140370345</v>
      </c>
      <c r="J34" s="2">
        <v>1.2128923318338822</v>
      </c>
      <c r="K34" s="2">
        <v>-6.6466572857876525</v>
      </c>
      <c r="L34" s="2">
        <v>6.4492479670082723</v>
      </c>
      <c r="M34" s="2">
        <v>2.4990010110495779</v>
      </c>
      <c r="N34" s="2">
        <v>16.602381892132637</v>
      </c>
      <c r="O34" s="2">
        <v>3.7075142679248589</v>
      </c>
      <c r="P34" s="2">
        <v>6.2333124010194663</v>
      </c>
      <c r="Q34" s="2">
        <v>3.3242003192595182</v>
      </c>
    </row>
    <row r="36" spans="1:17" x14ac:dyDescent="0.25">
      <c r="B36" s="9"/>
    </row>
    <row r="38" spans="1:17" x14ac:dyDescent="0.25">
      <c r="E38" s="1" t="s">
        <v>3</v>
      </c>
      <c r="F38" s="1" t="s">
        <v>4</v>
      </c>
      <c r="G38" s="1" t="s">
        <v>5</v>
      </c>
      <c r="H38" s="1" t="s">
        <v>6</v>
      </c>
      <c r="I38" s="1" t="s">
        <v>7</v>
      </c>
      <c r="J38" s="1" t="s">
        <v>8</v>
      </c>
      <c r="K38" s="1" t="s">
        <v>9</v>
      </c>
      <c r="L38" s="1" t="s">
        <v>10</v>
      </c>
      <c r="M38" s="1" t="s">
        <v>11</v>
      </c>
      <c r="N38" s="1" t="s">
        <v>12</v>
      </c>
      <c r="O38" s="1" t="s">
        <v>13</v>
      </c>
      <c r="P38" s="1" t="s">
        <v>14</v>
      </c>
      <c r="Q38" s="1" t="s">
        <v>15</v>
      </c>
    </row>
    <row r="39" spans="1:17" x14ac:dyDescent="0.25">
      <c r="D39" t="s">
        <v>61</v>
      </c>
      <c r="E39">
        <v>12.09</v>
      </c>
      <c r="F39" s="2">
        <f>SUM(F27:F38)</f>
        <v>0.55056572825273675</v>
      </c>
      <c r="G39" s="2">
        <f t="shared" ref="G39" si="1">SUM(G27:G38)</f>
        <v>9.8450970106877325</v>
      </c>
      <c r="H39" s="2">
        <f t="shared" ref="H39" si="2">SUM(H27:H38)</f>
        <v>13.453855937098403</v>
      </c>
      <c r="I39" s="2">
        <f t="shared" ref="I39" si="3">SUM(I27:I38)</f>
        <v>-26.288210696607301</v>
      </c>
      <c r="J39" s="2">
        <f t="shared" ref="J39" si="4">SUM(J27:J38)</f>
        <v>6.5914562458588923</v>
      </c>
      <c r="K39" s="2">
        <f t="shared" ref="K39" si="5">SUM(K27:K38)</f>
        <v>-26.791207895208807</v>
      </c>
      <c r="L39" s="2">
        <f t="shared" ref="L39" si="6">SUM(L27:L38)</f>
        <v>9.8259779678910117</v>
      </c>
      <c r="M39" s="2">
        <f t="shared" ref="M39" si="7">SUM(M27:M38)</f>
        <v>3.1718133809047102</v>
      </c>
      <c r="N39" s="2">
        <f t="shared" ref="N39" si="8">SUM(N27:N38)</f>
        <v>25.341274131979436</v>
      </c>
      <c r="O39" s="2">
        <f>SUM(O27:O38)</f>
        <v>5.7503376778918209</v>
      </c>
      <c r="P39" s="2">
        <f t="shared" ref="P39" si="9">SUM(P27:P38)</f>
        <v>9.327941448844145</v>
      </c>
      <c r="Q39" s="2">
        <f t="shared" ref="Q39" si="10">SUM(Q27:Q38)</f>
        <v>3.0619175797430889</v>
      </c>
    </row>
    <row r="43" spans="1:17" x14ac:dyDescent="0.25">
      <c r="L43" s="1" t="s">
        <v>76</v>
      </c>
    </row>
    <row r="65" spans="2:16" x14ac:dyDescent="0.25">
      <c r="C65" s="5"/>
    </row>
    <row r="66" spans="2:16" x14ac:dyDescent="0.25">
      <c r="B66" s="5" t="s">
        <v>1</v>
      </c>
      <c r="C66" s="5" t="s">
        <v>2</v>
      </c>
      <c r="D66" s="5" t="s">
        <v>73</v>
      </c>
      <c r="E66" s="5" t="s">
        <v>49</v>
      </c>
      <c r="F66" s="5" t="s">
        <v>75</v>
      </c>
    </row>
    <row r="67" spans="2:16" x14ac:dyDescent="0.25">
      <c r="D67" t="s">
        <v>74</v>
      </c>
      <c r="E67">
        <v>2238.9000000000005</v>
      </c>
    </row>
    <row r="68" spans="2:16" x14ac:dyDescent="0.25">
      <c r="B68">
        <v>2022</v>
      </c>
      <c r="C68" t="s">
        <v>39</v>
      </c>
      <c r="D68" t="str">
        <f>CONCATENATE(B68,C68)</f>
        <v>2022June</v>
      </c>
      <c r="E68">
        <v>2261.9</v>
      </c>
      <c r="F68">
        <f>((E68-E67)/E67)*100</f>
        <v>1.0272901871454525</v>
      </c>
    </row>
    <row r="69" spans="2:16" x14ac:dyDescent="0.25">
      <c r="B69">
        <v>2022</v>
      </c>
      <c r="C69" t="s">
        <v>40</v>
      </c>
      <c r="D69" t="str">
        <f t="shared" ref="D69:D79" si="11">CONCATENATE(B69,C69)</f>
        <v>2022July</v>
      </c>
      <c r="E69">
        <v>2266.3000000000002</v>
      </c>
      <c r="F69">
        <f t="shared" ref="F69:F79" si="12">((E69-E68)/E68)*100</f>
        <v>0.19452672531942572</v>
      </c>
    </row>
    <row r="70" spans="2:16" x14ac:dyDescent="0.25">
      <c r="B70">
        <v>2022</v>
      </c>
      <c r="C70" t="s">
        <v>41</v>
      </c>
      <c r="D70" t="str">
        <f t="shared" si="11"/>
        <v>2022August</v>
      </c>
      <c r="E70">
        <v>2269.2000000000003</v>
      </c>
      <c r="F70">
        <f t="shared" si="12"/>
        <v>0.12796187618585758</v>
      </c>
      <c r="P70" s="1" t="s">
        <v>77</v>
      </c>
    </row>
    <row r="71" spans="2:16" x14ac:dyDescent="0.25">
      <c r="B71">
        <v>2022</v>
      </c>
      <c r="C71" t="s">
        <v>42</v>
      </c>
      <c r="D71" t="str">
        <f t="shared" si="11"/>
        <v>2022September</v>
      </c>
      <c r="E71">
        <v>2280.9</v>
      </c>
      <c r="F71">
        <f t="shared" si="12"/>
        <v>0.51560021152828384</v>
      </c>
      <c r="P71" s="1" t="s">
        <v>114</v>
      </c>
    </row>
    <row r="72" spans="2:16" x14ac:dyDescent="0.25">
      <c r="B72">
        <v>2022</v>
      </c>
      <c r="C72" t="s">
        <v>43</v>
      </c>
      <c r="D72" t="str">
        <f t="shared" si="11"/>
        <v>2022October</v>
      </c>
      <c r="E72">
        <v>2297.3000000000002</v>
      </c>
      <c r="F72">
        <f t="shared" si="12"/>
        <v>0.7190144241308295</v>
      </c>
    </row>
    <row r="73" spans="2:16" x14ac:dyDescent="0.25">
      <c r="B73">
        <v>2022</v>
      </c>
      <c r="C73" t="s">
        <v>45</v>
      </c>
      <c r="D73" t="str">
        <f t="shared" si="11"/>
        <v>2022November</v>
      </c>
      <c r="E73">
        <v>2296.8000000000002</v>
      </c>
      <c r="F73">
        <f t="shared" si="12"/>
        <v>-2.1764680276846731E-2</v>
      </c>
    </row>
    <row r="74" spans="2:16" x14ac:dyDescent="0.25">
      <c r="B74">
        <v>2022</v>
      </c>
      <c r="C74" t="s">
        <v>46</v>
      </c>
      <c r="D74" t="str">
        <f t="shared" si="11"/>
        <v>2022December</v>
      </c>
      <c r="E74">
        <v>2283.4</v>
      </c>
      <c r="F74">
        <f t="shared" si="12"/>
        <v>-0.58342041100662179</v>
      </c>
    </row>
    <row r="75" spans="2:16" x14ac:dyDescent="0.25">
      <c r="B75">
        <v>2023</v>
      </c>
      <c r="C75" t="s">
        <v>31</v>
      </c>
      <c r="D75" t="str">
        <f t="shared" si="11"/>
        <v>2023January</v>
      </c>
      <c r="E75">
        <v>2292.6999999999998</v>
      </c>
      <c r="F75">
        <f t="shared" si="12"/>
        <v>0.40728737847068963</v>
      </c>
    </row>
    <row r="76" spans="2:16" x14ac:dyDescent="0.25">
      <c r="B76">
        <v>2023</v>
      </c>
      <c r="C76" t="s">
        <v>35</v>
      </c>
      <c r="D76" t="str">
        <f t="shared" si="11"/>
        <v>2023February</v>
      </c>
      <c r="E76">
        <v>2279.1</v>
      </c>
      <c r="F76">
        <f t="shared" si="12"/>
        <v>-0.59318707201116194</v>
      </c>
    </row>
    <row r="77" spans="2:16" x14ac:dyDescent="0.25">
      <c r="B77">
        <v>2023</v>
      </c>
      <c r="C77" t="s">
        <v>36</v>
      </c>
      <c r="D77" t="str">
        <f t="shared" si="11"/>
        <v>2023March</v>
      </c>
      <c r="E77">
        <v>2279.1999999999998</v>
      </c>
      <c r="F77">
        <f t="shared" si="12"/>
        <v>4.3876968978943031E-3</v>
      </c>
    </row>
    <row r="78" spans="2:16" x14ac:dyDescent="0.25">
      <c r="B78">
        <v>2023</v>
      </c>
      <c r="C78" t="s">
        <v>37</v>
      </c>
      <c r="D78" t="str">
        <f t="shared" si="11"/>
        <v>2023April</v>
      </c>
      <c r="E78">
        <v>2289.6000000000004</v>
      </c>
      <c r="F78">
        <f t="shared" si="12"/>
        <v>0.45630045630048033</v>
      </c>
    </row>
    <row r="79" spans="2:16" x14ac:dyDescent="0.25">
      <c r="B79">
        <v>2023</v>
      </c>
      <c r="C79" t="s">
        <v>38</v>
      </c>
      <c r="D79" t="str">
        <f t="shared" si="11"/>
        <v>2023May</v>
      </c>
      <c r="E79">
        <v>2306.9</v>
      </c>
      <c r="F79">
        <f t="shared" si="12"/>
        <v>0.75559049615652185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BB11F-53A3-40E9-B947-FA2CD59651CA}">
  <dimension ref="A1:Q37"/>
  <sheetViews>
    <sheetView topLeftCell="L1" workbookViewId="0">
      <selection activeCell="O3" sqref="O3"/>
    </sheetView>
  </sheetViews>
  <sheetFormatPr defaultRowHeight="15" x14ac:dyDescent="0.25"/>
  <cols>
    <col min="1" max="1" width="15.140625" bestFit="1" customWidth="1"/>
    <col min="2" max="2" width="10.85546875" bestFit="1" customWidth="1"/>
    <col min="5" max="5" width="16.7109375" bestFit="1" customWidth="1"/>
    <col min="8" max="8" width="15.140625" bestFit="1" customWidth="1"/>
    <col min="9" max="9" width="10.85546875" bestFit="1" customWidth="1"/>
    <col min="12" max="12" width="16.7109375" bestFit="1" customWidth="1"/>
    <col min="14" max="14" width="94.28515625" customWidth="1"/>
    <col min="15" max="15" width="20.42578125" bestFit="1" customWidth="1"/>
    <col min="16" max="16" width="22" bestFit="1" customWidth="1"/>
    <col min="17" max="17" width="32" bestFit="1" customWidth="1"/>
  </cols>
  <sheetData>
    <row r="1" spans="1:17" x14ac:dyDescent="0.25">
      <c r="A1" s="21" t="s">
        <v>64</v>
      </c>
      <c r="B1" s="21"/>
      <c r="C1" s="21"/>
      <c r="D1" s="21"/>
      <c r="E1" s="21"/>
      <c r="F1" s="21"/>
      <c r="G1" s="21"/>
      <c r="H1" s="21"/>
      <c r="I1" s="21"/>
      <c r="J1" s="21"/>
    </row>
    <row r="2" spans="1:17" x14ac:dyDescent="0.25">
      <c r="A2" s="5" t="s">
        <v>62</v>
      </c>
      <c r="B2" t="s">
        <v>2</v>
      </c>
      <c r="C2" s="5" t="s">
        <v>49</v>
      </c>
      <c r="D2" s="5" t="s">
        <v>23</v>
      </c>
      <c r="E2" s="5" t="s">
        <v>63</v>
      </c>
      <c r="H2" s="5" t="s">
        <v>65</v>
      </c>
      <c r="I2" s="5" t="s">
        <v>2</v>
      </c>
      <c r="J2" s="5" t="s">
        <v>66</v>
      </c>
      <c r="K2" s="5" t="s">
        <v>23</v>
      </c>
      <c r="L2" s="5" t="s">
        <v>63</v>
      </c>
      <c r="N2" s="5" t="s">
        <v>1</v>
      </c>
      <c r="O2" s="5" t="s">
        <v>69</v>
      </c>
      <c r="P2" s="5" t="s">
        <v>70</v>
      </c>
      <c r="Q2" s="5" t="s">
        <v>71</v>
      </c>
    </row>
    <row r="3" spans="1:17" x14ac:dyDescent="0.25">
      <c r="A3">
        <v>2018</v>
      </c>
      <c r="B3" t="s">
        <v>37</v>
      </c>
      <c r="C3">
        <v>1757.1000000000001</v>
      </c>
      <c r="D3">
        <v>135.19999999999999</v>
      </c>
      <c r="E3">
        <v>810.59999999999991</v>
      </c>
      <c r="N3" s="5" t="s">
        <v>62</v>
      </c>
      <c r="O3">
        <f>((C14-C3)/C3)*100</f>
        <v>0.33008935177280485</v>
      </c>
      <c r="P3">
        <f>((D14-D3)/D3)*100</f>
        <v>8.1360946745562135</v>
      </c>
      <c r="Q3">
        <f>((E14-E3)/E3)*100</f>
        <v>4.2561065877128339</v>
      </c>
    </row>
    <row r="4" spans="1:17" x14ac:dyDescent="0.25">
      <c r="A4">
        <v>2018</v>
      </c>
      <c r="B4" t="s">
        <v>38</v>
      </c>
      <c r="C4">
        <v>1759.8</v>
      </c>
      <c r="D4">
        <v>136</v>
      </c>
      <c r="E4">
        <v>814.6</v>
      </c>
      <c r="H4">
        <v>2019</v>
      </c>
      <c r="I4" t="s">
        <v>38</v>
      </c>
      <c r="J4">
        <v>1791.9000000000003</v>
      </c>
      <c r="K4">
        <v>293.79999999999995</v>
      </c>
      <c r="L4">
        <v>848.8</v>
      </c>
      <c r="N4" s="5" t="s">
        <v>65</v>
      </c>
      <c r="O4">
        <f>((J14-J4)/J4)*100</f>
        <v>5.7759919638372539</v>
      </c>
      <c r="P4">
        <f>((K14-K4)/K4)*100</f>
        <v>2.4166099387338407</v>
      </c>
      <c r="Q4">
        <f>((L14-L4)/L4)*100</f>
        <v>3.6286522148916069</v>
      </c>
    </row>
    <row r="5" spans="1:17" x14ac:dyDescent="0.25">
      <c r="A5">
        <v>2018</v>
      </c>
      <c r="B5" t="s">
        <v>39</v>
      </c>
      <c r="C5">
        <v>1774.1000000000001</v>
      </c>
      <c r="D5">
        <v>136.19999999999999</v>
      </c>
      <c r="E5">
        <v>817.6</v>
      </c>
      <c r="H5">
        <v>2019</v>
      </c>
      <c r="I5" t="s">
        <v>39</v>
      </c>
      <c r="J5">
        <v>1814.1000000000001</v>
      </c>
      <c r="K5">
        <v>293.20000000000005</v>
      </c>
      <c r="L5">
        <v>850.1</v>
      </c>
      <c r="N5" s="5" t="s">
        <v>67</v>
      </c>
      <c r="O5">
        <f>((C29-C18)/C18)*100</f>
        <v>3.8867097957312393</v>
      </c>
      <c r="P5">
        <f>((D29-D18)/D18)*100</f>
        <v>7.2992700729927016</v>
      </c>
      <c r="Q5">
        <f>((E29-E18)/E18)*100</f>
        <v>15.489096573208716</v>
      </c>
    </row>
    <row r="6" spans="1:17" x14ac:dyDescent="0.25">
      <c r="A6">
        <v>2018</v>
      </c>
      <c r="B6" t="s">
        <v>40</v>
      </c>
      <c r="C6">
        <v>1795.3</v>
      </c>
      <c r="D6">
        <v>137</v>
      </c>
      <c r="E6">
        <v>823.40000000000009</v>
      </c>
      <c r="H6">
        <v>2019</v>
      </c>
      <c r="I6" t="s">
        <v>40</v>
      </c>
      <c r="J6">
        <v>1837.5</v>
      </c>
      <c r="K6">
        <v>294.79999999999995</v>
      </c>
      <c r="L6">
        <v>853.19999999999993</v>
      </c>
      <c r="N6" s="5" t="s">
        <v>68</v>
      </c>
      <c r="O6">
        <f>((J29-J18)/J18)*100</f>
        <v>5.8185165447410672</v>
      </c>
      <c r="P6">
        <f>((K29-K18)/K18)*100</f>
        <v>6.5927295132470656</v>
      </c>
      <c r="Q6">
        <f>((L29-L18)/L18)*100</f>
        <v>5.7735727341146159</v>
      </c>
    </row>
    <row r="7" spans="1:17" x14ac:dyDescent="0.25">
      <c r="A7">
        <v>2018</v>
      </c>
      <c r="B7" t="s">
        <v>41</v>
      </c>
      <c r="C7">
        <v>1798.7000000000003</v>
      </c>
      <c r="D7">
        <v>137.69999999999999</v>
      </c>
      <c r="E7">
        <v>829.09999999999991</v>
      </c>
      <c r="H7">
        <v>2019</v>
      </c>
      <c r="I7" t="s">
        <v>41</v>
      </c>
      <c r="J7">
        <v>1846.5</v>
      </c>
      <c r="K7">
        <v>296.10000000000002</v>
      </c>
      <c r="L7">
        <v>855.5</v>
      </c>
    </row>
    <row r="8" spans="1:17" x14ac:dyDescent="0.25">
      <c r="A8">
        <v>2018</v>
      </c>
      <c r="B8" t="s">
        <v>42</v>
      </c>
      <c r="C8">
        <v>1779.5</v>
      </c>
      <c r="D8">
        <v>138.4</v>
      </c>
      <c r="E8">
        <v>834.2</v>
      </c>
      <c r="H8">
        <v>2019</v>
      </c>
      <c r="I8" t="s">
        <v>42</v>
      </c>
      <c r="J8">
        <v>1857.6999999999998</v>
      </c>
      <c r="K8">
        <v>296.79999999999995</v>
      </c>
      <c r="L8">
        <v>858</v>
      </c>
    </row>
    <row r="9" spans="1:17" x14ac:dyDescent="0.25">
      <c r="A9">
        <v>2018</v>
      </c>
      <c r="B9" t="s">
        <v>43</v>
      </c>
      <c r="C9">
        <v>1776.2</v>
      </c>
      <c r="D9">
        <v>142.1</v>
      </c>
      <c r="E9">
        <v>844</v>
      </c>
      <c r="H9">
        <v>2019</v>
      </c>
      <c r="I9" t="s">
        <v>43</v>
      </c>
      <c r="J9">
        <v>1885.5999999999997</v>
      </c>
      <c r="K9">
        <v>298</v>
      </c>
      <c r="L9">
        <v>861.3</v>
      </c>
    </row>
    <row r="10" spans="1:17" x14ac:dyDescent="0.25">
      <c r="A10">
        <v>2018</v>
      </c>
      <c r="B10" t="s">
        <v>45</v>
      </c>
      <c r="C10">
        <v>1775.7000000000003</v>
      </c>
      <c r="D10">
        <v>142.1</v>
      </c>
      <c r="E10">
        <v>843.8</v>
      </c>
      <c r="H10">
        <v>2019</v>
      </c>
      <c r="I10" t="s">
        <v>45</v>
      </c>
      <c r="J10">
        <v>1910.9</v>
      </c>
      <c r="K10">
        <v>298.8</v>
      </c>
      <c r="L10">
        <v>864.5</v>
      </c>
    </row>
    <row r="11" spans="1:17" x14ac:dyDescent="0.25">
      <c r="A11">
        <v>2018</v>
      </c>
      <c r="B11" t="s">
        <v>46</v>
      </c>
      <c r="C11">
        <v>1762.7999999999997</v>
      </c>
      <c r="D11">
        <v>144.9</v>
      </c>
      <c r="E11">
        <v>842.90000000000009</v>
      </c>
      <c r="H11">
        <v>2019</v>
      </c>
      <c r="I11" t="s">
        <v>46</v>
      </c>
      <c r="J11">
        <v>1946.1000000000001</v>
      </c>
      <c r="K11">
        <v>298.60000000000002</v>
      </c>
      <c r="L11">
        <v>870.3</v>
      </c>
    </row>
    <row r="12" spans="1:17" x14ac:dyDescent="0.25">
      <c r="A12">
        <v>2019</v>
      </c>
      <c r="B12" t="s">
        <v>31</v>
      </c>
      <c r="C12">
        <v>1753.3999999999999</v>
      </c>
      <c r="D12">
        <v>145.1</v>
      </c>
      <c r="E12">
        <v>841.19999999999993</v>
      </c>
      <c r="H12">
        <v>2020</v>
      </c>
      <c r="I12" t="s">
        <v>31</v>
      </c>
      <c r="J12">
        <v>1940.3999999999999</v>
      </c>
      <c r="K12">
        <v>300.10000000000002</v>
      </c>
      <c r="L12">
        <v>875.1</v>
      </c>
    </row>
    <row r="13" spans="1:17" x14ac:dyDescent="0.25">
      <c r="A13">
        <v>2019</v>
      </c>
      <c r="B13" t="s">
        <v>35</v>
      </c>
      <c r="C13">
        <v>1757.1</v>
      </c>
      <c r="D13">
        <v>145.6</v>
      </c>
      <c r="E13">
        <v>842.19999999999993</v>
      </c>
      <c r="H13">
        <v>2020</v>
      </c>
      <c r="I13" t="s">
        <v>35</v>
      </c>
      <c r="J13">
        <v>1911.6</v>
      </c>
      <c r="K13">
        <v>301.20000000000005</v>
      </c>
      <c r="L13">
        <v>878.50000000000011</v>
      </c>
    </row>
    <row r="14" spans="1:17" x14ac:dyDescent="0.25">
      <c r="A14">
        <v>2019</v>
      </c>
      <c r="B14" t="s">
        <v>36</v>
      </c>
      <c r="C14">
        <v>1762.9</v>
      </c>
      <c r="D14">
        <v>146.19999999999999</v>
      </c>
      <c r="E14">
        <v>845.10000000000014</v>
      </c>
      <c r="H14">
        <v>2020</v>
      </c>
      <c r="I14" t="s">
        <v>36</v>
      </c>
      <c r="J14">
        <v>1895.4</v>
      </c>
      <c r="K14">
        <v>300.89999999999998</v>
      </c>
      <c r="L14">
        <v>879.59999999999991</v>
      </c>
    </row>
    <row r="17" spans="1:14" x14ac:dyDescent="0.25">
      <c r="A17" s="5" t="s">
        <v>67</v>
      </c>
      <c r="B17" s="5" t="s">
        <v>2</v>
      </c>
      <c r="C17" s="5" t="s">
        <v>49</v>
      </c>
      <c r="D17" s="5" t="s">
        <v>23</v>
      </c>
      <c r="E17" s="5" t="s">
        <v>63</v>
      </c>
      <c r="H17" s="5" t="s">
        <v>68</v>
      </c>
      <c r="I17" s="5" t="s">
        <v>2</v>
      </c>
      <c r="J17" s="5" t="s">
        <v>49</v>
      </c>
      <c r="K17" s="5" t="s">
        <v>23</v>
      </c>
      <c r="L17" s="5" t="s">
        <v>63</v>
      </c>
    </row>
    <row r="18" spans="1:14" x14ac:dyDescent="0.25">
      <c r="A18">
        <v>2020</v>
      </c>
      <c r="B18" t="s">
        <v>37</v>
      </c>
      <c r="C18">
        <v>1963.1</v>
      </c>
      <c r="D18">
        <v>150.69999999999999</v>
      </c>
      <c r="E18">
        <v>802.5</v>
      </c>
      <c r="H18">
        <v>2021</v>
      </c>
      <c r="I18" t="s">
        <v>37</v>
      </c>
      <c r="J18">
        <v>2064.1</v>
      </c>
      <c r="K18">
        <v>162.30000000000001</v>
      </c>
      <c r="L18">
        <v>930.1</v>
      </c>
    </row>
    <row r="19" spans="1:14" x14ac:dyDescent="0.25">
      <c r="A19">
        <v>2020</v>
      </c>
      <c r="B19" t="s">
        <v>38</v>
      </c>
      <c r="C19">
        <v>149.69999999999999</v>
      </c>
      <c r="D19">
        <v>152.5</v>
      </c>
      <c r="E19">
        <v>875.9</v>
      </c>
      <c r="H19">
        <v>2021</v>
      </c>
      <c r="I19" t="s">
        <v>38</v>
      </c>
      <c r="J19">
        <v>2105.7000000000003</v>
      </c>
      <c r="K19">
        <v>165.8</v>
      </c>
      <c r="L19">
        <v>942.59999999999991</v>
      </c>
    </row>
    <row r="20" spans="1:14" x14ac:dyDescent="0.25">
      <c r="A20">
        <v>2020</v>
      </c>
      <c r="B20" t="s">
        <v>39</v>
      </c>
      <c r="C20">
        <v>1966.8000000000002</v>
      </c>
      <c r="D20">
        <v>154.4</v>
      </c>
      <c r="E20">
        <v>881.4</v>
      </c>
      <c r="H20">
        <v>2021</v>
      </c>
      <c r="I20" t="s">
        <v>39</v>
      </c>
      <c r="J20">
        <v>2133.9</v>
      </c>
      <c r="K20">
        <v>166.3</v>
      </c>
      <c r="L20">
        <v>945.1</v>
      </c>
    </row>
    <row r="21" spans="1:14" x14ac:dyDescent="0.25">
      <c r="A21">
        <v>2020</v>
      </c>
      <c r="B21" t="s">
        <v>40</v>
      </c>
      <c r="C21">
        <v>1966.8000000000002</v>
      </c>
      <c r="D21">
        <v>154.4</v>
      </c>
      <c r="E21">
        <v>881.4</v>
      </c>
      <c r="H21">
        <v>2021</v>
      </c>
      <c r="I21" t="s">
        <v>40</v>
      </c>
      <c r="J21">
        <v>2147</v>
      </c>
      <c r="K21">
        <v>167</v>
      </c>
      <c r="L21">
        <v>953.3</v>
      </c>
    </row>
    <row r="22" spans="1:14" x14ac:dyDescent="0.25">
      <c r="A22">
        <v>2020</v>
      </c>
      <c r="B22" t="s">
        <v>41</v>
      </c>
      <c r="C22">
        <v>1995.1999999999998</v>
      </c>
      <c r="D22">
        <v>155</v>
      </c>
      <c r="E22">
        <v>892.9</v>
      </c>
      <c r="H22">
        <v>2021</v>
      </c>
      <c r="I22" t="s">
        <v>41</v>
      </c>
      <c r="J22">
        <v>2142</v>
      </c>
      <c r="K22">
        <v>168.4</v>
      </c>
      <c r="L22">
        <v>960</v>
      </c>
    </row>
    <row r="23" spans="1:14" x14ac:dyDescent="0.25">
      <c r="A23">
        <v>2020</v>
      </c>
      <c r="B23" t="s">
        <v>42</v>
      </c>
      <c r="C23">
        <v>2007</v>
      </c>
      <c r="D23">
        <v>155.6</v>
      </c>
      <c r="E23">
        <v>895</v>
      </c>
      <c r="F23" t="s">
        <v>72</v>
      </c>
      <c r="H23">
        <v>2021</v>
      </c>
      <c r="I23" t="s">
        <v>42</v>
      </c>
      <c r="J23">
        <v>2142</v>
      </c>
      <c r="K23">
        <v>168.4</v>
      </c>
      <c r="L23">
        <v>959.90000000000009</v>
      </c>
    </row>
    <row r="24" spans="1:14" x14ac:dyDescent="0.25">
      <c r="A24">
        <v>2020</v>
      </c>
      <c r="B24" t="s">
        <v>43</v>
      </c>
      <c r="C24">
        <v>2048.6000000000004</v>
      </c>
      <c r="D24">
        <v>156.30000000000001</v>
      </c>
      <c r="E24">
        <v>897.8</v>
      </c>
      <c r="H24">
        <v>2021</v>
      </c>
      <c r="I24" t="s">
        <v>43</v>
      </c>
      <c r="J24">
        <v>2175.5</v>
      </c>
      <c r="K24">
        <v>169.1</v>
      </c>
      <c r="L24">
        <v>966.8</v>
      </c>
    </row>
    <row r="25" spans="1:14" x14ac:dyDescent="0.25">
      <c r="A25">
        <v>2020</v>
      </c>
      <c r="B25" t="s">
        <v>45</v>
      </c>
      <c r="C25">
        <v>2095.6</v>
      </c>
      <c r="D25">
        <v>157.19999999999999</v>
      </c>
      <c r="E25">
        <v>900.5</v>
      </c>
      <c r="H25">
        <v>2021</v>
      </c>
      <c r="I25" t="s">
        <v>45</v>
      </c>
      <c r="J25">
        <v>2194.1</v>
      </c>
      <c r="K25">
        <v>169.9</v>
      </c>
      <c r="L25">
        <v>967.9</v>
      </c>
      <c r="N25" s="1" t="s">
        <v>92</v>
      </c>
    </row>
    <row r="26" spans="1:14" x14ac:dyDescent="0.25">
      <c r="A26">
        <v>2020</v>
      </c>
      <c r="B26" t="s">
        <v>46</v>
      </c>
      <c r="C26">
        <v>2109.1</v>
      </c>
      <c r="D26">
        <v>158.30000000000001</v>
      </c>
      <c r="E26">
        <v>904</v>
      </c>
      <c r="H26">
        <v>2021</v>
      </c>
      <c r="I26" t="s">
        <v>46</v>
      </c>
      <c r="J26">
        <v>2180.9</v>
      </c>
      <c r="K26">
        <v>170.6</v>
      </c>
      <c r="L26">
        <v>969.80000000000007</v>
      </c>
      <c r="N26" s="1" t="s">
        <v>93</v>
      </c>
    </row>
    <row r="27" spans="1:14" x14ac:dyDescent="0.25">
      <c r="A27">
        <v>2021</v>
      </c>
      <c r="B27" t="s">
        <v>31</v>
      </c>
      <c r="C27">
        <v>2076.5</v>
      </c>
      <c r="D27">
        <v>159.30000000000001</v>
      </c>
      <c r="E27">
        <v>908.6</v>
      </c>
      <c r="H27">
        <v>2022</v>
      </c>
      <c r="I27" t="s">
        <v>31</v>
      </c>
      <c r="J27">
        <v>2164.1999999999998</v>
      </c>
      <c r="K27">
        <v>171.4</v>
      </c>
      <c r="L27">
        <v>973.7</v>
      </c>
      <c r="N27" s="1" t="s">
        <v>94</v>
      </c>
    </row>
    <row r="28" spans="1:14" x14ac:dyDescent="0.25">
      <c r="A28">
        <v>2021</v>
      </c>
      <c r="B28" t="s">
        <v>35</v>
      </c>
      <c r="C28">
        <v>2039.3000000000002</v>
      </c>
      <c r="D28">
        <v>161.30000000000001</v>
      </c>
      <c r="E28">
        <v>921.1</v>
      </c>
      <c r="H28">
        <v>2022</v>
      </c>
      <c r="I28" t="s">
        <v>35</v>
      </c>
      <c r="J28">
        <v>2161.2000000000003</v>
      </c>
      <c r="K28">
        <v>172.2</v>
      </c>
      <c r="L28">
        <v>978.8</v>
      </c>
    </row>
    <row r="29" spans="1:14" x14ac:dyDescent="0.25">
      <c r="A29">
        <v>2021</v>
      </c>
      <c r="B29" t="s">
        <v>36</v>
      </c>
      <c r="C29">
        <v>2039.3999999999999</v>
      </c>
      <c r="D29">
        <v>161.69999999999999</v>
      </c>
      <c r="E29">
        <v>926.8</v>
      </c>
      <c r="H29">
        <v>2022</v>
      </c>
      <c r="I29" t="s">
        <v>36</v>
      </c>
      <c r="J29">
        <v>2184.2000000000003</v>
      </c>
      <c r="K29">
        <v>173</v>
      </c>
      <c r="L29">
        <v>983.80000000000007</v>
      </c>
      <c r="N29" s="3" t="s">
        <v>115</v>
      </c>
    </row>
    <row r="30" spans="1:14" x14ac:dyDescent="0.25">
      <c r="N30" s="3" t="s">
        <v>116</v>
      </c>
    </row>
    <row r="31" spans="1:14" x14ac:dyDescent="0.25">
      <c r="N31" s="3" t="s">
        <v>117</v>
      </c>
    </row>
    <row r="32" spans="1:14" x14ac:dyDescent="0.25">
      <c r="N32" s="3" t="s">
        <v>118</v>
      </c>
    </row>
    <row r="34" spans="14:14" x14ac:dyDescent="0.25">
      <c r="N34" s="3" t="s">
        <v>119</v>
      </c>
    </row>
    <row r="35" spans="14:14" x14ac:dyDescent="0.25">
      <c r="N35" t="s">
        <v>120</v>
      </c>
    </row>
    <row r="36" spans="14:14" x14ac:dyDescent="0.25">
      <c r="N36" t="s">
        <v>121</v>
      </c>
    </row>
    <row r="37" spans="14:14" x14ac:dyDescent="0.25">
      <c r="N37" t="s">
        <v>122</v>
      </c>
    </row>
  </sheetData>
  <mergeCells count="1">
    <mergeCell ref="A1:J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2CCB4-B2BE-4A44-A54E-D57FBD2E0F34}">
  <dimension ref="A4:AL51"/>
  <sheetViews>
    <sheetView zoomScale="98" zoomScaleNormal="98" workbookViewId="0">
      <selection activeCell="K39" sqref="K39:AL45"/>
    </sheetView>
  </sheetViews>
  <sheetFormatPr defaultRowHeight="15" x14ac:dyDescent="0.25"/>
  <cols>
    <col min="1" max="1" width="13.42578125" bestFit="1" customWidth="1"/>
    <col min="2" max="2" width="17.7109375" bestFit="1" customWidth="1"/>
    <col min="3" max="3" width="22.28515625" bestFit="1" customWidth="1"/>
    <col min="4" max="4" width="9.42578125" bestFit="1" customWidth="1"/>
    <col min="5" max="5" width="19" bestFit="1" customWidth="1"/>
    <col min="6" max="6" width="19.28515625" bestFit="1" customWidth="1"/>
    <col min="9" max="9" width="23.42578125" bestFit="1" customWidth="1"/>
    <col min="11" max="11" width="28.85546875" bestFit="1" customWidth="1"/>
    <col min="12" max="12" width="19.7109375" bestFit="1" customWidth="1"/>
    <col min="13" max="13" width="13.140625" bestFit="1" customWidth="1"/>
    <col min="14" max="14" width="6" bestFit="1" customWidth="1"/>
    <col min="15" max="15" width="16.85546875" bestFit="1" customWidth="1"/>
    <col min="16" max="16" width="11.85546875" bestFit="1" customWidth="1"/>
    <col min="17" max="17" width="6" bestFit="1" customWidth="1"/>
    <col min="18" max="18" width="11" bestFit="1" customWidth="1"/>
    <col min="19" max="19" width="18.85546875" bestFit="1" customWidth="1"/>
    <col min="20" max="20" width="23" bestFit="1" customWidth="1"/>
    <col min="21" max="21" width="6.5703125" bestFit="1" customWidth="1"/>
    <col min="22" max="22" width="23.28515625" bestFit="1" customWidth="1"/>
    <col min="23" max="23" width="33.28515625" bestFit="1" customWidth="1"/>
    <col min="24" max="24" width="19" bestFit="1" customWidth="1"/>
    <col min="25" max="25" width="26.5703125" bestFit="1" customWidth="1"/>
    <col min="26" max="26" width="8.42578125" bestFit="1" customWidth="1"/>
    <col min="27" max="27" width="9.42578125" bestFit="1" customWidth="1"/>
    <col min="28" max="28" width="21" bestFit="1" customWidth="1"/>
    <col min="29" max="29" width="8.140625" bestFit="1" customWidth="1"/>
    <col min="30" max="30" width="13.140625" bestFit="1" customWidth="1"/>
    <col min="31" max="31" width="28.140625" bestFit="1" customWidth="1"/>
    <col min="32" max="32" width="6.85546875" bestFit="1" customWidth="1"/>
    <col min="33" max="33" width="27.85546875" bestFit="1" customWidth="1"/>
    <col min="34" max="34" width="25.85546875" bestFit="1" customWidth="1"/>
    <col min="35" max="35" width="9.7109375" bestFit="1" customWidth="1"/>
    <col min="36" max="36" width="23.5703125" bestFit="1" customWidth="1"/>
    <col min="37" max="37" width="13.85546875" bestFit="1" customWidth="1"/>
    <col min="38" max="38" width="13.5703125" bestFit="1" customWidth="1"/>
  </cols>
  <sheetData>
    <row r="4" spans="1:38" x14ac:dyDescent="0.25">
      <c r="A4" s="5" t="s">
        <v>1</v>
      </c>
      <c r="B4" s="5" t="s">
        <v>78</v>
      </c>
      <c r="C4" s="5" t="s">
        <v>79</v>
      </c>
      <c r="D4" s="5" t="s">
        <v>80</v>
      </c>
      <c r="E4" s="5" t="s">
        <v>81</v>
      </c>
      <c r="F4" s="5" t="s">
        <v>82</v>
      </c>
      <c r="I4" t="s">
        <v>0</v>
      </c>
      <c r="J4" t="s">
        <v>1</v>
      </c>
      <c r="K4" t="s">
        <v>2</v>
      </c>
      <c r="L4" t="s">
        <v>3</v>
      </c>
      <c r="M4" t="s">
        <v>4</v>
      </c>
      <c r="N4" t="s">
        <v>5</v>
      </c>
      <c r="O4" t="s">
        <v>6</v>
      </c>
      <c r="P4" t="s">
        <v>7</v>
      </c>
      <c r="Q4" t="s">
        <v>8</v>
      </c>
      <c r="R4" t="s">
        <v>9</v>
      </c>
      <c r="S4" t="s">
        <v>10</v>
      </c>
      <c r="T4" t="s">
        <v>11</v>
      </c>
      <c r="U4" t="s">
        <v>12</v>
      </c>
      <c r="V4" t="s">
        <v>13</v>
      </c>
      <c r="W4" t="s">
        <v>14</v>
      </c>
      <c r="X4" t="s">
        <v>15</v>
      </c>
      <c r="Y4" t="s">
        <v>16</v>
      </c>
      <c r="Z4" t="s">
        <v>17</v>
      </c>
      <c r="AA4" t="s">
        <v>18</v>
      </c>
      <c r="AB4" t="s">
        <v>19</v>
      </c>
      <c r="AC4" t="s">
        <v>20</v>
      </c>
      <c r="AD4" t="s">
        <v>21</v>
      </c>
      <c r="AE4" t="s">
        <v>22</v>
      </c>
      <c r="AF4" t="s">
        <v>23</v>
      </c>
      <c r="AG4" t="s">
        <v>24</v>
      </c>
      <c r="AH4" t="s">
        <v>25</v>
      </c>
      <c r="AI4" t="s">
        <v>26</v>
      </c>
      <c r="AJ4" t="s">
        <v>27</v>
      </c>
      <c r="AK4" t="s">
        <v>28</v>
      </c>
      <c r="AL4" t="s">
        <v>29</v>
      </c>
    </row>
    <row r="5" spans="1:38" x14ac:dyDescent="0.25">
      <c r="A5" s="6">
        <v>45312</v>
      </c>
      <c r="B5" s="7">
        <v>55990.924602459359</v>
      </c>
      <c r="C5" s="7">
        <v>66695</v>
      </c>
      <c r="D5" s="8">
        <v>54.794569624999994</v>
      </c>
      <c r="E5" s="7">
        <v>7660.1083182071889</v>
      </c>
      <c r="F5">
        <v>9123</v>
      </c>
      <c r="I5" t="s">
        <v>34</v>
      </c>
      <c r="J5">
        <v>2021</v>
      </c>
      <c r="K5" t="s">
        <v>31</v>
      </c>
      <c r="L5">
        <v>144.9</v>
      </c>
      <c r="M5">
        <v>190.1</v>
      </c>
      <c r="N5">
        <v>175.3</v>
      </c>
      <c r="O5">
        <v>154.1</v>
      </c>
      <c r="P5">
        <v>150.9</v>
      </c>
      <c r="Q5">
        <v>149.6</v>
      </c>
      <c r="R5">
        <v>194.2</v>
      </c>
      <c r="S5">
        <v>160.4</v>
      </c>
      <c r="T5">
        <v>114.6</v>
      </c>
      <c r="U5">
        <v>164</v>
      </c>
      <c r="V5">
        <v>151.80000000000001</v>
      </c>
      <c r="W5">
        <v>165.6</v>
      </c>
      <c r="X5">
        <v>161</v>
      </c>
      <c r="Y5">
        <v>186.5</v>
      </c>
      <c r="Z5">
        <v>155.5</v>
      </c>
      <c r="AA5">
        <v>146.1</v>
      </c>
      <c r="AB5">
        <v>154.19999999999999</v>
      </c>
      <c r="AC5">
        <v>157.69999999999999</v>
      </c>
      <c r="AD5">
        <v>147.9</v>
      </c>
      <c r="AE5">
        <v>150</v>
      </c>
      <c r="AF5">
        <v>159.30000000000001</v>
      </c>
      <c r="AG5">
        <v>141.9</v>
      </c>
      <c r="AH5">
        <v>149.6</v>
      </c>
      <c r="AI5">
        <v>159.19999999999999</v>
      </c>
      <c r="AJ5">
        <v>156.80000000000001</v>
      </c>
      <c r="AK5">
        <v>151.9</v>
      </c>
      <c r="AL5">
        <v>157.30000000000001</v>
      </c>
    </row>
    <row r="6" spans="1:38" x14ac:dyDescent="0.25">
      <c r="A6" s="6">
        <v>45343</v>
      </c>
      <c r="B6" s="7">
        <v>48033.558892131798</v>
      </c>
      <c r="C6" s="7">
        <v>60966</v>
      </c>
      <c r="D6" s="8">
        <v>61.216117289473672</v>
      </c>
      <c r="E6" s="7">
        <v>6582.968612823589</v>
      </c>
      <c r="F6">
        <v>8356</v>
      </c>
      <c r="I6" t="s">
        <v>34</v>
      </c>
      <c r="J6">
        <v>2021</v>
      </c>
      <c r="K6" t="s">
        <v>35</v>
      </c>
      <c r="L6">
        <v>144.30000000000001</v>
      </c>
      <c r="M6">
        <v>186.5</v>
      </c>
      <c r="N6">
        <v>168.7</v>
      </c>
      <c r="O6">
        <v>154.69999999999999</v>
      </c>
      <c r="P6">
        <v>158.69999999999999</v>
      </c>
      <c r="Q6">
        <v>150.69999999999999</v>
      </c>
      <c r="R6">
        <v>160</v>
      </c>
      <c r="S6">
        <v>158.80000000000001</v>
      </c>
      <c r="T6">
        <v>112.8</v>
      </c>
      <c r="U6">
        <v>164.2</v>
      </c>
      <c r="V6">
        <v>155.5</v>
      </c>
      <c r="W6">
        <v>167.5</v>
      </c>
      <c r="X6">
        <v>156.9</v>
      </c>
      <c r="Y6">
        <v>188.3</v>
      </c>
      <c r="Z6">
        <v>157.19999999999999</v>
      </c>
      <c r="AA6">
        <v>147.4</v>
      </c>
      <c r="AB6">
        <v>155.80000000000001</v>
      </c>
      <c r="AC6">
        <v>159.80000000000001</v>
      </c>
      <c r="AD6">
        <v>152.4</v>
      </c>
      <c r="AE6">
        <v>150.9</v>
      </c>
      <c r="AF6">
        <v>161.30000000000001</v>
      </c>
      <c r="AG6">
        <v>145.1</v>
      </c>
      <c r="AH6">
        <v>151.5</v>
      </c>
      <c r="AI6">
        <v>159.5</v>
      </c>
      <c r="AJ6">
        <v>155.80000000000001</v>
      </c>
      <c r="AK6">
        <v>153.4</v>
      </c>
      <c r="AL6">
        <v>156.6</v>
      </c>
    </row>
    <row r="7" spans="1:38" x14ac:dyDescent="0.25">
      <c r="A7" s="6">
        <v>45372</v>
      </c>
      <c r="B7" s="7">
        <v>61518.692284107237</v>
      </c>
      <c r="C7" s="7">
        <v>75471</v>
      </c>
      <c r="D7" s="8">
        <v>64.729496782608663</v>
      </c>
      <c r="E7" s="7">
        <v>8431.2093627850154</v>
      </c>
      <c r="F7">
        <v>10333</v>
      </c>
      <c r="I7" t="s">
        <v>34</v>
      </c>
      <c r="J7">
        <v>2021</v>
      </c>
      <c r="K7" t="s">
        <v>36</v>
      </c>
      <c r="L7">
        <v>144.1</v>
      </c>
      <c r="M7">
        <v>192.2</v>
      </c>
      <c r="N7">
        <v>163.80000000000001</v>
      </c>
      <c r="O7">
        <v>154.9</v>
      </c>
      <c r="P7">
        <v>163.9</v>
      </c>
      <c r="Q7">
        <v>153.69999999999999</v>
      </c>
      <c r="R7">
        <v>149.5</v>
      </c>
      <c r="S7">
        <v>159.80000000000001</v>
      </c>
      <c r="T7">
        <v>112.6</v>
      </c>
      <c r="U7">
        <v>163.5</v>
      </c>
      <c r="V7">
        <v>156.5</v>
      </c>
      <c r="W7">
        <v>168.2</v>
      </c>
      <c r="X7">
        <v>156.69999999999999</v>
      </c>
      <c r="Y7">
        <v>188.1</v>
      </c>
      <c r="Z7">
        <v>157.80000000000001</v>
      </c>
      <c r="AA7">
        <v>147.9</v>
      </c>
      <c r="AB7">
        <v>156.4</v>
      </c>
      <c r="AC7">
        <v>159.9</v>
      </c>
      <c r="AD7">
        <v>155.5</v>
      </c>
      <c r="AE7">
        <v>151.19999999999999</v>
      </c>
      <c r="AF7">
        <v>161.69999999999999</v>
      </c>
      <c r="AG7">
        <v>146.19999999999999</v>
      </c>
      <c r="AH7">
        <v>152.6</v>
      </c>
      <c r="AI7">
        <v>160.19999999999999</v>
      </c>
      <c r="AJ7">
        <v>153.80000000000001</v>
      </c>
      <c r="AK7">
        <v>153.80000000000001</v>
      </c>
      <c r="AL7">
        <v>156.80000000000001</v>
      </c>
    </row>
    <row r="8" spans="1:38" x14ac:dyDescent="0.25">
      <c r="A8" s="6">
        <v>45403</v>
      </c>
      <c r="B8" s="7">
        <v>63309.498622749867</v>
      </c>
      <c r="C8">
        <v>74208</v>
      </c>
      <c r="D8" s="8">
        <v>63.396976500000008</v>
      </c>
      <c r="E8" s="7">
        <v>8555.124305166928</v>
      </c>
      <c r="F8">
        <v>10024</v>
      </c>
      <c r="I8" t="s">
        <v>34</v>
      </c>
      <c r="J8">
        <v>2021</v>
      </c>
      <c r="K8" t="s">
        <v>37</v>
      </c>
      <c r="L8">
        <v>144.30000000000001</v>
      </c>
      <c r="M8">
        <v>198</v>
      </c>
      <c r="N8">
        <v>164.6</v>
      </c>
      <c r="O8">
        <v>155.4</v>
      </c>
      <c r="P8">
        <v>170.1</v>
      </c>
      <c r="Q8">
        <v>164.4</v>
      </c>
      <c r="R8">
        <v>144.1</v>
      </c>
      <c r="S8">
        <v>161.69999999999999</v>
      </c>
      <c r="T8">
        <v>113.1</v>
      </c>
      <c r="U8">
        <v>163.9</v>
      </c>
      <c r="V8">
        <v>157.6</v>
      </c>
      <c r="W8">
        <v>168.9</v>
      </c>
      <c r="X8">
        <v>158</v>
      </c>
      <c r="Y8">
        <v>188.8</v>
      </c>
      <c r="Z8">
        <v>158.80000000000001</v>
      </c>
      <c r="AA8">
        <v>148.5</v>
      </c>
      <c r="AB8">
        <v>157.30000000000001</v>
      </c>
      <c r="AC8">
        <v>161.4</v>
      </c>
      <c r="AD8">
        <v>155.6</v>
      </c>
      <c r="AE8">
        <v>151.80000000000001</v>
      </c>
      <c r="AF8">
        <v>162.30000000000001</v>
      </c>
      <c r="AG8">
        <v>146.6</v>
      </c>
      <c r="AH8">
        <v>153.19999999999999</v>
      </c>
      <c r="AI8">
        <v>160.30000000000001</v>
      </c>
      <c r="AJ8">
        <v>155.4</v>
      </c>
      <c r="AK8">
        <v>154.4</v>
      </c>
      <c r="AL8">
        <v>157.80000000000001</v>
      </c>
    </row>
    <row r="9" spans="1:38" x14ac:dyDescent="0.25">
      <c r="A9" s="6">
        <v>45433</v>
      </c>
      <c r="B9" s="7">
        <v>60800.383481587211</v>
      </c>
      <c r="C9">
        <v>70046</v>
      </c>
      <c r="D9" s="8">
        <v>66.953084852941174</v>
      </c>
      <c r="E9" s="7">
        <v>8262.4591334358447</v>
      </c>
      <c r="F9">
        <v>9523</v>
      </c>
      <c r="I9" t="s">
        <v>34</v>
      </c>
      <c r="J9">
        <v>2021</v>
      </c>
      <c r="K9" t="s">
        <v>38</v>
      </c>
      <c r="L9">
        <v>146.30000000000001</v>
      </c>
      <c r="M9">
        <v>200.5</v>
      </c>
      <c r="N9">
        <v>170.3</v>
      </c>
      <c r="O9">
        <v>156.1</v>
      </c>
      <c r="P9">
        <v>178.7</v>
      </c>
      <c r="Q9">
        <v>167.1</v>
      </c>
      <c r="R9">
        <v>147.9</v>
      </c>
      <c r="S9">
        <v>165.4</v>
      </c>
      <c r="T9">
        <v>114.8</v>
      </c>
      <c r="U9">
        <v>168.2</v>
      </c>
      <c r="V9">
        <v>159.30000000000001</v>
      </c>
      <c r="W9">
        <v>170.4</v>
      </c>
      <c r="X9">
        <v>160.69999999999999</v>
      </c>
      <c r="Y9">
        <v>191.9</v>
      </c>
      <c r="Z9">
        <v>161.80000000000001</v>
      </c>
      <c r="AA9">
        <v>152.1</v>
      </c>
      <c r="AB9">
        <v>160.4</v>
      </c>
      <c r="AC9">
        <v>161.6</v>
      </c>
      <c r="AD9">
        <v>159.4</v>
      </c>
      <c r="AE9">
        <v>154.69999999999999</v>
      </c>
      <c r="AF9">
        <v>165.8</v>
      </c>
      <c r="AG9">
        <v>148.9</v>
      </c>
      <c r="AH9">
        <v>155.80000000000001</v>
      </c>
      <c r="AI9">
        <v>161.19999999999999</v>
      </c>
      <c r="AJ9">
        <v>158.6</v>
      </c>
      <c r="AK9">
        <v>156.80000000000001</v>
      </c>
      <c r="AL9">
        <v>160.4</v>
      </c>
    </row>
    <row r="10" spans="1:38" x14ac:dyDescent="0.25">
      <c r="A10" s="6">
        <v>45464</v>
      </c>
      <c r="B10" s="7">
        <v>61073.298999169296</v>
      </c>
      <c r="C10">
        <v>71679</v>
      </c>
      <c r="D10" s="8">
        <v>71.982647477272721</v>
      </c>
      <c r="E10" s="7">
        <v>8288.6639043868272</v>
      </c>
      <c r="F10">
        <v>9722</v>
      </c>
      <c r="I10" t="s">
        <v>34</v>
      </c>
      <c r="J10">
        <v>2021</v>
      </c>
      <c r="K10" t="s">
        <v>39</v>
      </c>
      <c r="L10">
        <v>146.69999999999999</v>
      </c>
      <c r="M10">
        <v>202</v>
      </c>
      <c r="N10">
        <v>180.7</v>
      </c>
      <c r="O10">
        <v>156.19999999999999</v>
      </c>
      <c r="P10">
        <v>183.7</v>
      </c>
      <c r="Q10">
        <v>164.6</v>
      </c>
      <c r="R10">
        <v>155.4</v>
      </c>
      <c r="S10">
        <v>166</v>
      </c>
      <c r="T10">
        <v>115.1</v>
      </c>
      <c r="U10">
        <v>168.5</v>
      </c>
      <c r="V10">
        <v>160</v>
      </c>
      <c r="W10">
        <v>172.4</v>
      </c>
      <c r="X10">
        <v>162.6</v>
      </c>
      <c r="Y10">
        <v>190.8</v>
      </c>
      <c r="Z10">
        <v>162.19999999999999</v>
      </c>
      <c r="AA10">
        <v>151.80000000000001</v>
      </c>
      <c r="AB10">
        <v>160.69999999999999</v>
      </c>
      <c r="AC10">
        <v>160.5</v>
      </c>
      <c r="AD10">
        <v>159.80000000000001</v>
      </c>
      <c r="AE10">
        <v>154.80000000000001</v>
      </c>
      <c r="AF10">
        <v>166.3</v>
      </c>
      <c r="AG10">
        <v>150.69999999999999</v>
      </c>
      <c r="AH10">
        <v>154.9</v>
      </c>
      <c r="AI10">
        <v>161.69999999999999</v>
      </c>
      <c r="AJ10">
        <v>158.80000000000001</v>
      </c>
      <c r="AK10">
        <v>157.6</v>
      </c>
      <c r="AL10">
        <v>161.30000000000001</v>
      </c>
    </row>
    <row r="11" spans="1:38" x14ac:dyDescent="0.25">
      <c r="A11" s="6">
        <v>45494</v>
      </c>
      <c r="B11" s="7">
        <v>59460.950438057756</v>
      </c>
      <c r="C11">
        <v>72860</v>
      </c>
      <c r="D11" s="8">
        <v>73.539060523809511</v>
      </c>
      <c r="E11" s="7">
        <v>7975.557676093822</v>
      </c>
      <c r="F11">
        <v>9767</v>
      </c>
      <c r="I11" t="s">
        <v>34</v>
      </c>
      <c r="J11">
        <v>2021</v>
      </c>
      <c r="K11" t="s">
        <v>40</v>
      </c>
      <c r="L11">
        <v>146.4</v>
      </c>
      <c r="M11">
        <v>206.8</v>
      </c>
      <c r="N11">
        <v>182.2</v>
      </c>
      <c r="O11">
        <v>157.5</v>
      </c>
      <c r="P11">
        <v>182.1</v>
      </c>
      <c r="Q11">
        <v>163.9</v>
      </c>
      <c r="R11">
        <v>164.2</v>
      </c>
      <c r="S11">
        <v>164</v>
      </c>
      <c r="T11">
        <v>114.5</v>
      </c>
      <c r="U11">
        <v>168.3</v>
      </c>
      <c r="V11">
        <v>160.9</v>
      </c>
      <c r="W11">
        <v>172.2</v>
      </c>
      <c r="X11">
        <v>164</v>
      </c>
      <c r="Y11">
        <v>191.2</v>
      </c>
      <c r="Z11">
        <v>162.80000000000001</v>
      </c>
      <c r="AA11">
        <v>153.1</v>
      </c>
      <c r="AB11">
        <v>161.4</v>
      </c>
      <c r="AC11">
        <v>161.5</v>
      </c>
      <c r="AD11">
        <v>160.69999999999999</v>
      </c>
      <c r="AE11">
        <v>155.80000000000001</v>
      </c>
      <c r="AF11">
        <v>167</v>
      </c>
      <c r="AG11">
        <v>153.1</v>
      </c>
      <c r="AH11">
        <v>155.30000000000001</v>
      </c>
      <c r="AI11">
        <v>163.19999999999999</v>
      </c>
      <c r="AJ11">
        <v>160.1</v>
      </c>
      <c r="AK11">
        <v>159</v>
      </c>
      <c r="AL11">
        <v>162.5</v>
      </c>
    </row>
    <row r="12" spans="1:38" x14ac:dyDescent="0.25">
      <c r="A12" s="6">
        <v>45525</v>
      </c>
      <c r="B12" s="7">
        <v>67310.659830633638</v>
      </c>
      <c r="C12">
        <v>80983</v>
      </c>
      <c r="D12" s="8">
        <v>69.804724424999989</v>
      </c>
      <c r="E12" s="7">
        <v>9075.0363125651802</v>
      </c>
      <c r="F12">
        <v>10924</v>
      </c>
      <c r="I12" t="s">
        <v>34</v>
      </c>
      <c r="J12">
        <v>2021</v>
      </c>
      <c r="K12" t="s">
        <v>41</v>
      </c>
      <c r="L12">
        <v>146.6</v>
      </c>
      <c r="M12">
        <v>204</v>
      </c>
      <c r="N12">
        <v>172.8</v>
      </c>
      <c r="O12">
        <v>158.4</v>
      </c>
      <c r="P12">
        <v>188</v>
      </c>
      <c r="Q12">
        <v>156.80000000000001</v>
      </c>
      <c r="R12">
        <v>162.19999999999999</v>
      </c>
      <c r="S12">
        <v>164.1</v>
      </c>
      <c r="T12">
        <v>119.7</v>
      </c>
      <c r="U12">
        <v>168.8</v>
      </c>
      <c r="V12">
        <v>162.69999999999999</v>
      </c>
      <c r="W12">
        <v>173.9</v>
      </c>
      <c r="X12">
        <v>164</v>
      </c>
      <c r="Y12">
        <v>192.1</v>
      </c>
      <c r="Z12">
        <v>164.5</v>
      </c>
      <c r="AA12">
        <v>155.30000000000001</v>
      </c>
      <c r="AB12">
        <v>163.19999999999999</v>
      </c>
      <c r="AC12">
        <v>162.1</v>
      </c>
      <c r="AD12">
        <v>162.6</v>
      </c>
      <c r="AE12">
        <v>157.5</v>
      </c>
      <c r="AF12">
        <v>168.4</v>
      </c>
      <c r="AG12">
        <v>154</v>
      </c>
      <c r="AH12">
        <v>157.6</v>
      </c>
      <c r="AI12">
        <v>163.80000000000001</v>
      </c>
      <c r="AJ12">
        <v>160</v>
      </c>
      <c r="AK12">
        <v>160</v>
      </c>
      <c r="AL12">
        <v>163.19999999999999</v>
      </c>
    </row>
    <row r="13" spans="1:38" x14ac:dyDescent="0.25">
      <c r="A13" s="6">
        <v>45556</v>
      </c>
      <c r="B13" s="7">
        <v>69109.876194440018</v>
      </c>
      <c r="C13">
        <v>83035</v>
      </c>
      <c r="D13" s="8">
        <v>73.130738295454549</v>
      </c>
      <c r="E13" s="7">
        <v>9340.0907281339605</v>
      </c>
      <c r="F13">
        <v>11226</v>
      </c>
      <c r="I13" t="s">
        <v>34</v>
      </c>
      <c r="J13">
        <v>2021</v>
      </c>
      <c r="K13" t="s">
        <v>42</v>
      </c>
      <c r="L13">
        <v>146.6</v>
      </c>
      <c r="M13">
        <v>204</v>
      </c>
      <c r="N13">
        <v>172.8</v>
      </c>
      <c r="O13">
        <v>158.4</v>
      </c>
      <c r="P13">
        <v>188</v>
      </c>
      <c r="Q13">
        <v>156.69999999999999</v>
      </c>
      <c r="R13">
        <v>162.30000000000001</v>
      </c>
      <c r="S13">
        <v>164.1</v>
      </c>
      <c r="T13">
        <v>119.7</v>
      </c>
      <c r="U13">
        <v>168.8</v>
      </c>
      <c r="V13">
        <v>162.69999999999999</v>
      </c>
      <c r="W13">
        <v>173.9</v>
      </c>
      <c r="X13">
        <v>164</v>
      </c>
      <c r="Y13">
        <v>192.1</v>
      </c>
      <c r="Z13">
        <v>164.6</v>
      </c>
      <c r="AA13">
        <v>155.30000000000001</v>
      </c>
      <c r="AB13">
        <v>163.30000000000001</v>
      </c>
      <c r="AC13">
        <v>162.1</v>
      </c>
      <c r="AD13">
        <v>162.6</v>
      </c>
      <c r="AE13">
        <v>157.5</v>
      </c>
      <c r="AF13">
        <v>168.4</v>
      </c>
      <c r="AG13">
        <v>154</v>
      </c>
      <c r="AH13">
        <v>157.69999999999999</v>
      </c>
      <c r="AI13">
        <v>163.69999999999999</v>
      </c>
      <c r="AJ13">
        <v>160</v>
      </c>
      <c r="AK13">
        <v>160</v>
      </c>
      <c r="AL13">
        <v>163.19999999999999</v>
      </c>
    </row>
    <row r="14" spans="1:38" x14ac:dyDescent="0.25">
      <c r="A14" s="6">
        <v>45586</v>
      </c>
      <c r="B14" s="7">
        <v>72054.19693085934</v>
      </c>
      <c r="C14">
        <v>91472</v>
      </c>
      <c r="D14" s="8">
        <v>82.107393785714294</v>
      </c>
      <c r="E14" s="7">
        <v>9636.9097891856873</v>
      </c>
      <c r="F14">
        <v>12225</v>
      </c>
      <c r="I14" t="s">
        <v>34</v>
      </c>
      <c r="J14">
        <v>2021</v>
      </c>
      <c r="K14" t="s">
        <v>43</v>
      </c>
      <c r="L14">
        <v>147.4</v>
      </c>
      <c r="M14">
        <v>204.6</v>
      </c>
      <c r="N14">
        <v>171.2</v>
      </c>
      <c r="O14">
        <v>158.69999999999999</v>
      </c>
      <c r="P14">
        <v>190.6</v>
      </c>
      <c r="Q14">
        <v>155.69999999999999</v>
      </c>
      <c r="R14">
        <v>185.3</v>
      </c>
      <c r="S14">
        <v>165.2</v>
      </c>
      <c r="T14">
        <v>121.9</v>
      </c>
      <c r="U14">
        <v>169.3</v>
      </c>
      <c r="V14">
        <v>163.19999999999999</v>
      </c>
      <c r="W14">
        <v>174.7</v>
      </c>
      <c r="X14">
        <v>167.7</v>
      </c>
      <c r="Y14">
        <v>192.7</v>
      </c>
      <c r="Z14">
        <v>165.7</v>
      </c>
      <c r="AA14">
        <v>156.30000000000001</v>
      </c>
      <c r="AB14">
        <v>164.3</v>
      </c>
      <c r="AC14">
        <v>163.6</v>
      </c>
      <c r="AD14">
        <v>164.2</v>
      </c>
      <c r="AE14">
        <v>158.4</v>
      </c>
      <c r="AF14">
        <v>169.1</v>
      </c>
      <c r="AG14">
        <v>155.69999999999999</v>
      </c>
      <c r="AH14">
        <v>158.6</v>
      </c>
      <c r="AI14">
        <v>163.9</v>
      </c>
      <c r="AJ14">
        <v>160.80000000000001</v>
      </c>
      <c r="AK14">
        <v>161</v>
      </c>
      <c r="AL14">
        <v>165.5</v>
      </c>
    </row>
    <row r="15" spans="1:38" x14ac:dyDescent="0.25">
      <c r="A15" s="6">
        <v>45617</v>
      </c>
      <c r="B15" s="7">
        <v>79009.388695268004</v>
      </c>
      <c r="C15">
        <v>95105</v>
      </c>
      <c r="D15" s="8">
        <v>80.637301023809528</v>
      </c>
      <c r="E15" s="7">
        <v>10588.500877415287</v>
      </c>
      <c r="F15">
        <v>12736</v>
      </c>
      <c r="I15" t="s">
        <v>34</v>
      </c>
      <c r="J15">
        <v>2021</v>
      </c>
      <c r="K15" t="s">
        <v>45</v>
      </c>
      <c r="L15">
        <v>148.19999999999999</v>
      </c>
      <c r="M15">
        <v>201.6</v>
      </c>
      <c r="N15">
        <v>173</v>
      </c>
      <c r="O15">
        <v>159.30000000000001</v>
      </c>
      <c r="P15">
        <v>190.1</v>
      </c>
      <c r="Q15">
        <v>156.5</v>
      </c>
      <c r="R15">
        <v>199.2</v>
      </c>
      <c r="S15">
        <v>165.3</v>
      </c>
      <c r="T15">
        <v>122.4</v>
      </c>
      <c r="U15">
        <v>169.6</v>
      </c>
      <c r="V15">
        <v>163.69999999999999</v>
      </c>
      <c r="W15">
        <v>175.5</v>
      </c>
      <c r="X15">
        <v>169.7</v>
      </c>
      <c r="Y15">
        <v>192.9</v>
      </c>
      <c r="Z15">
        <v>167.2</v>
      </c>
      <c r="AA15">
        <v>157.4</v>
      </c>
      <c r="AB15">
        <v>165.8</v>
      </c>
      <c r="AC15">
        <v>164.2</v>
      </c>
      <c r="AD15">
        <v>163.9</v>
      </c>
      <c r="AE15">
        <v>159.30000000000001</v>
      </c>
      <c r="AF15">
        <v>169.9</v>
      </c>
      <c r="AG15">
        <v>154.80000000000001</v>
      </c>
      <c r="AH15">
        <v>159.80000000000001</v>
      </c>
      <c r="AI15">
        <v>164.3</v>
      </c>
      <c r="AJ15">
        <v>162.19999999999999</v>
      </c>
      <c r="AK15">
        <v>161.4</v>
      </c>
      <c r="AL15">
        <v>166.7</v>
      </c>
    </row>
    <row r="16" spans="1:38" x14ac:dyDescent="0.25">
      <c r="A16" s="6">
        <v>45647</v>
      </c>
      <c r="B16" s="7">
        <v>81771.141778992853</v>
      </c>
      <c r="C16">
        <v>100381</v>
      </c>
      <c r="D16" s="8">
        <v>73.298823523809531</v>
      </c>
      <c r="E16" s="7">
        <v>10887.089291441698</v>
      </c>
      <c r="F16">
        <v>13365</v>
      </c>
      <c r="I16" t="s">
        <v>34</v>
      </c>
      <c r="J16">
        <v>2021</v>
      </c>
      <c r="K16" t="s">
        <v>46</v>
      </c>
      <c r="L16">
        <v>148.69999999999999</v>
      </c>
      <c r="M16">
        <v>198.8</v>
      </c>
      <c r="N16">
        <v>177.9</v>
      </c>
      <c r="O16">
        <v>159.9</v>
      </c>
      <c r="P16">
        <v>187.6</v>
      </c>
      <c r="Q16">
        <v>154.9</v>
      </c>
      <c r="R16">
        <v>188.3</v>
      </c>
      <c r="S16">
        <v>164.4</v>
      </c>
      <c r="T16">
        <v>121</v>
      </c>
      <c r="U16">
        <v>170.5</v>
      </c>
      <c r="V16">
        <v>164.2</v>
      </c>
      <c r="W16">
        <v>176.5</v>
      </c>
      <c r="X16">
        <v>168.2</v>
      </c>
      <c r="Y16">
        <v>192.4</v>
      </c>
      <c r="Z16">
        <v>168.5</v>
      </c>
      <c r="AA16">
        <v>158.69999999999999</v>
      </c>
      <c r="AB16">
        <v>167</v>
      </c>
      <c r="AC16">
        <v>163.4</v>
      </c>
      <c r="AD16">
        <v>164.1</v>
      </c>
      <c r="AE16">
        <v>160.19999999999999</v>
      </c>
      <c r="AF16">
        <v>170.6</v>
      </c>
      <c r="AG16">
        <v>155.69999999999999</v>
      </c>
      <c r="AH16">
        <v>160.6</v>
      </c>
      <c r="AI16">
        <v>164.4</v>
      </c>
      <c r="AJ16">
        <v>162.6</v>
      </c>
      <c r="AK16">
        <v>162</v>
      </c>
      <c r="AL16">
        <v>166.2</v>
      </c>
    </row>
    <row r="17" spans="1:38" x14ac:dyDescent="0.25">
      <c r="A17" s="6">
        <v>45313</v>
      </c>
      <c r="B17" s="7">
        <v>86692.515382787504</v>
      </c>
      <c r="C17">
        <v>101828</v>
      </c>
      <c r="D17" s="8">
        <v>84.666318799999985</v>
      </c>
      <c r="E17" s="7">
        <v>11573.41351840969</v>
      </c>
      <c r="F17">
        <v>13597</v>
      </c>
      <c r="I17" t="s">
        <v>34</v>
      </c>
      <c r="J17">
        <v>2022</v>
      </c>
      <c r="K17" t="s">
        <v>31</v>
      </c>
      <c r="L17">
        <v>149.5</v>
      </c>
      <c r="M17">
        <v>198.7</v>
      </c>
      <c r="N17">
        <v>178.8</v>
      </c>
      <c r="O17">
        <v>160.5</v>
      </c>
      <c r="P17">
        <v>184.7</v>
      </c>
      <c r="Q17">
        <v>153.69999999999999</v>
      </c>
      <c r="R17">
        <v>174.3</v>
      </c>
      <c r="S17">
        <v>163.9</v>
      </c>
      <c r="T17">
        <v>120</v>
      </c>
      <c r="U17">
        <v>172.1</v>
      </c>
      <c r="V17">
        <v>164.3</v>
      </c>
      <c r="W17">
        <v>177.3</v>
      </c>
      <c r="X17">
        <v>166.4</v>
      </c>
      <c r="Y17">
        <v>192.2</v>
      </c>
      <c r="Z17">
        <v>169.9</v>
      </c>
      <c r="AA17">
        <v>160.69999999999999</v>
      </c>
      <c r="AB17">
        <v>168.5</v>
      </c>
      <c r="AC17">
        <v>164.5</v>
      </c>
      <c r="AD17">
        <v>164.2</v>
      </c>
      <c r="AE17">
        <v>161.1</v>
      </c>
      <c r="AF17">
        <v>171.4</v>
      </c>
      <c r="AG17">
        <v>156.5</v>
      </c>
      <c r="AH17">
        <v>161.19999999999999</v>
      </c>
      <c r="AI17">
        <v>164.7</v>
      </c>
      <c r="AJ17">
        <v>163</v>
      </c>
      <c r="AK17">
        <v>162.69999999999999</v>
      </c>
      <c r="AL17">
        <v>165.7</v>
      </c>
    </row>
    <row r="18" spans="1:38" x14ac:dyDescent="0.25">
      <c r="A18" s="6">
        <v>45344</v>
      </c>
      <c r="B18" s="7">
        <v>87441.416368947481</v>
      </c>
      <c r="C18">
        <v>102318</v>
      </c>
      <c r="D18" s="8">
        <v>94.067715194444446</v>
      </c>
      <c r="E18" s="7">
        <v>11618.667114456433</v>
      </c>
      <c r="F18">
        <v>13600</v>
      </c>
      <c r="I18" t="s">
        <v>34</v>
      </c>
      <c r="J18">
        <v>2022</v>
      </c>
      <c r="K18" t="s">
        <v>35</v>
      </c>
      <c r="L18">
        <v>150</v>
      </c>
      <c r="M18">
        <v>200.6</v>
      </c>
      <c r="N18">
        <v>175.8</v>
      </c>
      <c r="O18">
        <v>160.69999999999999</v>
      </c>
      <c r="P18">
        <v>184.9</v>
      </c>
      <c r="Q18">
        <v>153.69999999999999</v>
      </c>
      <c r="R18">
        <v>169.7</v>
      </c>
      <c r="S18">
        <v>163.69999999999999</v>
      </c>
      <c r="T18">
        <v>118.9</v>
      </c>
      <c r="U18">
        <v>174.3</v>
      </c>
      <c r="V18">
        <v>164.7</v>
      </c>
      <c r="W18">
        <v>178</v>
      </c>
      <c r="X18">
        <v>166.2</v>
      </c>
      <c r="Y18">
        <v>192.8</v>
      </c>
      <c r="Z18">
        <v>170.8</v>
      </c>
      <c r="AA18">
        <v>162.4</v>
      </c>
      <c r="AB18">
        <v>169.6</v>
      </c>
      <c r="AC18">
        <v>165.5</v>
      </c>
      <c r="AD18">
        <v>165.7</v>
      </c>
      <c r="AE18">
        <v>161.80000000000001</v>
      </c>
      <c r="AF18">
        <v>172.2</v>
      </c>
      <c r="AG18">
        <v>156.9</v>
      </c>
      <c r="AH18">
        <v>162.1</v>
      </c>
      <c r="AI18">
        <v>165.4</v>
      </c>
      <c r="AJ18">
        <v>164.4</v>
      </c>
      <c r="AK18">
        <v>163.5</v>
      </c>
      <c r="AL18">
        <v>166.1</v>
      </c>
    </row>
    <row r="19" spans="1:38" x14ac:dyDescent="0.25">
      <c r="A19" s="6">
        <v>45373</v>
      </c>
      <c r="B19" s="7">
        <v>113228.86524779514</v>
      </c>
      <c r="C19">
        <v>134181</v>
      </c>
      <c r="D19" s="8">
        <v>112.87479254347826</v>
      </c>
      <c r="E19" s="7">
        <v>14873.640267261206</v>
      </c>
      <c r="F19">
        <v>17622</v>
      </c>
      <c r="I19" t="s">
        <v>34</v>
      </c>
      <c r="J19">
        <v>2022</v>
      </c>
      <c r="K19" t="s">
        <v>36</v>
      </c>
      <c r="L19">
        <v>151.30000000000001</v>
      </c>
      <c r="M19">
        <v>210.7</v>
      </c>
      <c r="N19">
        <v>167.8</v>
      </c>
      <c r="O19">
        <v>162.19999999999999</v>
      </c>
      <c r="P19">
        <v>194.6</v>
      </c>
      <c r="Q19">
        <v>157.6</v>
      </c>
      <c r="R19">
        <v>166.9</v>
      </c>
      <c r="S19">
        <v>163.9</v>
      </c>
      <c r="T19">
        <v>118.8</v>
      </c>
      <c r="U19">
        <v>177.4</v>
      </c>
      <c r="V19">
        <v>165.3</v>
      </c>
      <c r="W19">
        <v>179.3</v>
      </c>
      <c r="X19">
        <v>168.4</v>
      </c>
      <c r="Y19">
        <v>193.7</v>
      </c>
      <c r="Z19">
        <v>172.1</v>
      </c>
      <c r="AA19">
        <v>164.6</v>
      </c>
      <c r="AB19">
        <v>171.1</v>
      </c>
      <c r="AC19">
        <v>165.3</v>
      </c>
      <c r="AD19">
        <v>167.2</v>
      </c>
      <c r="AE19">
        <v>162.80000000000001</v>
      </c>
      <c r="AF19">
        <v>173</v>
      </c>
      <c r="AG19">
        <v>157.9</v>
      </c>
      <c r="AH19">
        <v>163.30000000000001</v>
      </c>
      <c r="AI19">
        <v>166</v>
      </c>
      <c r="AJ19">
        <v>167.2</v>
      </c>
      <c r="AK19">
        <v>164.6</v>
      </c>
      <c r="AL19">
        <v>167.7</v>
      </c>
    </row>
    <row r="20" spans="1:38" x14ac:dyDescent="0.25">
      <c r="A20" s="6">
        <v>45404</v>
      </c>
      <c r="B20" s="7">
        <v>128800.06584155018</v>
      </c>
      <c r="C20">
        <v>151258</v>
      </c>
      <c r="D20" s="8">
        <v>102.96599786842103</v>
      </c>
      <c r="E20" s="7">
        <v>16814.63885159072</v>
      </c>
      <c r="F20" s="7">
        <v>16934.538851590722</v>
      </c>
      <c r="I20" t="s">
        <v>34</v>
      </c>
      <c r="J20">
        <v>2022</v>
      </c>
      <c r="K20" t="s">
        <v>37</v>
      </c>
      <c r="L20">
        <v>152.9</v>
      </c>
      <c r="M20">
        <v>211.8</v>
      </c>
      <c r="N20">
        <v>164.5</v>
      </c>
      <c r="O20">
        <v>163.9</v>
      </c>
      <c r="P20">
        <v>199.5</v>
      </c>
      <c r="Q20">
        <v>172.6</v>
      </c>
      <c r="R20">
        <v>166.2</v>
      </c>
      <c r="S20">
        <v>164.7</v>
      </c>
      <c r="T20">
        <v>119</v>
      </c>
      <c r="U20">
        <v>181.3</v>
      </c>
      <c r="V20">
        <v>166.2</v>
      </c>
      <c r="W20">
        <v>180.9</v>
      </c>
      <c r="X20">
        <v>170.8</v>
      </c>
      <c r="Y20">
        <v>193.9</v>
      </c>
      <c r="Z20">
        <v>173.9</v>
      </c>
      <c r="AA20">
        <v>166.5</v>
      </c>
      <c r="AB20">
        <v>172.8</v>
      </c>
      <c r="AC20">
        <v>167</v>
      </c>
      <c r="AD20">
        <v>172.2</v>
      </c>
      <c r="AE20">
        <v>164</v>
      </c>
      <c r="AF20">
        <v>174</v>
      </c>
      <c r="AG20">
        <v>162.6</v>
      </c>
      <c r="AH20">
        <v>164.4</v>
      </c>
      <c r="AI20">
        <v>166.9</v>
      </c>
      <c r="AJ20">
        <v>168.8</v>
      </c>
      <c r="AK20">
        <v>166.8</v>
      </c>
      <c r="AL20">
        <v>170.1</v>
      </c>
    </row>
    <row r="21" spans="1:38" x14ac:dyDescent="0.25">
      <c r="A21" s="6">
        <v>45434</v>
      </c>
      <c r="B21" s="7">
        <v>119633.62181054099</v>
      </c>
      <c r="C21">
        <v>137782</v>
      </c>
      <c r="D21" s="8">
        <v>109.50503773684208</v>
      </c>
      <c r="E21" s="7">
        <v>15468.77842943227</v>
      </c>
      <c r="F21" s="7">
        <v>15655.87842943227</v>
      </c>
      <c r="I21" t="s">
        <v>34</v>
      </c>
      <c r="J21">
        <v>2022</v>
      </c>
      <c r="K21" t="s">
        <v>38</v>
      </c>
      <c r="L21">
        <v>154.1</v>
      </c>
      <c r="M21">
        <v>217</v>
      </c>
      <c r="N21">
        <v>162.4</v>
      </c>
      <c r="O21">
        <v>164.9</v>
      </c>
      <c r="P21">
        <v>202.4</v>
      </c>
      <c r="Q21">
        <v>171</v>
      </c>
      <c r="R21">
        <v>174.9</v>
      </c>
      <c r="S21">
        <v>164.7</v>
      </c>
      <c r="T21">
        <v>119.7</v>
      </c>
      <c r="U21">
        <v>184.9</v>
      </c>
      <c r="V21">
        <v>167.1</v>
      </c>
      <c r="W21">
        <v>182.5</v>
      </c>
      <c r="X21">
        <v>173.3</v>
      </c>
      <c r="Y21">
        <v>194.1</v>
      </c>
      <c r="Z21">
        <v>175.6</v>
      </c>
      <c r="AA21">
        <v>168.4</v>
      </c>
      <c r="AB21">
        <v>174.6</v>
      </c>
      <c r="AC21">
        <v>167.5</v>
      </c>
      <c r="AD21">
        <v>174.6</v>
      </c>
      <c r="AE21">
        <v>165.2</v>
      </c>
      <c r="AF21">
        <v>174.8</v>
      </c>
      <c r="AG21">
        <v>163</v>
      </c>
      <c r="AH21">
        <v>165.1</v>
      </c>
      <c r="AI21">
        <v>167.9</v>
      </c>
      <c r="AJ21">
        <v>168.4</v>
      </c>
      <c r="AK21">
        <v>167.5</v>
      </c>
      <c r="AL21">
        <v>171.7</v>
      </c>
    </row>
    <row r="22" spans="1:38" x14ac:dyDescent="0.25">
      <c r="A22" s="6">
        <v>45465</v>
      </c>
      <c r="B22" s="7">
        <v>121897.63969956485</v>
      </c>
      <c r="C22">
        <v>140362</v>
      </c>
      <c r="D22" s="8">
        <v>116.01138504999999</v>
      </c>
      <c r="E22" s="7">
        <v>15596.965701493482</v>
      </c>
      <c r="F22" s="7">
        <v>15764.865701493482</v>
      </c>
      <c r="I22" t="s">
        <v>34</v>
      </c>
      <c r="J22">
        <v>2022</v>
      </c>
      <c r="K22" t="s">
        <v>39</v>
      </c>
      <c r="L22">
        <v>155</v>
      </c>
      <c r="M22">
        <v>219.4</v>
      </c>
      <c r="N22">
        <v>170.8</v>
      </c>
      <c r="O22">
        <v>165.8</v>
      </c>
      <c r="P22">
        <v>200.9</v>
      </c>
      <c r="Q22">
        <v>169.7</v>
      </c>
      <c r="R22">
        <v>182.3</v>
      </c>
      <c r="S22">
        <v>164.3</v>
      </c>
      <c r="T22">
        <v>119.9</v>
      </c>
      <c r="U22">
        <v>187.1</v>
      </c>
      <c r="V22">
        <v>167.9</v>
      </c>
      <c r="W22">
        <v>183.9</v>
      </c>
      <c r="X22">
        <v>174.9</v>
      </c>
      <c r="Y22">
        <v>194.3</v>
      </c>
      <c r="Z22">
        <v>177.1</v>
      </c>
      <c r="AA22">
        <v>169.9</v>
      </c>
      <c r="AB22">
        <v>176</v>
      </c>
      <c r="AC22">
        <v>166.8</v>
      </c>
      <c r="AD22">
        <v>176</v>
      </c>
      <c r="AE22">
        <v>166.4</v>
      </c>
      <c r="AF22">
        <v>175.4</v>
      </c>
      <c r="AG22">
        <v>161.1</v>
      </c>
      <c r="AH22">
        <v>165.8</v>
      </c>
      <c r="AI22">
        <v>169</v>
      </c>
      <c r="AJ22">
        <v>169.4</v>
      </c>
      <c r="AK22">
        <v>167.5</v>
      </c>
      <c r="AL22">
        <v>172.6</v>
      </c>
    </row>
    <row r="23" spans="1:38" x14ac:dyDescent="0.25">
      <c r="A23" s="6">
        <v>45495</v>
      </c>
      <c r="B23" s="7">
        <v>128755.46490262874</v>
      </c>
      <c r="C23">
        <v>148619</v>
      </c>
      <c r="D23" s="8">
        <v>105.49124737500001</v>
      </c>
      <c r="E23" s="7">
        <v>16264.642870403179</v>
      </c>
      <c r="F23" s="7">
        <v>16448.54287040318</v>
      </c>
      <c r="I23" t="s">
        <v>34</v>
      </c>
      <c r="J23">
        <v>2022</v>
      </c>
      <c r="K23" t="s">
        <v>40</v>
      </c>
      <c r="L23">
        <v>156.5</v>
      </c>
      <c r="M23">
        <v>213</v>
      </c>
      <c r="N23">
        <v>175.2</v>
      </c>
      <c r="O23">
        <v>166.6</v>
      </c>
      <c r="P23">
        <v>195.8</v>
      </c>
      <c r="Q23">
        <v>174.2</v>
      </c>
      <c r="R23">
        <v>182.1</v>
      </c>
      <c r="S23">
        <v>164.3</v>
      </c>
      <c r="T23">
        <v>120</v>
      </c>
      <c r="U23">
        <v>190</v>
      </c>
      <c r="V23">
        <v>168.4</v>
      </c>
      <c r="W23">
        <v>185.2</v>
      </c>
      <c r="X23">
        <v>175</v>
      </c>
      <c r="Y23">
        <v>194.6</v>
      </c>
      <c r="Z23">
        <v>178.3</v>
      </c>
      <c r="AA23">
        <v>171.3</v>
      </c>
      <c r="AB23">
        <v>177.3</v>
      </c>
      <c r="AC23">
        <v>167.8</v>
      </c>
      <c r="AD23">
        <v>179.6</v>
      </c>
      <c r="AE23">
        <v>167.4</v>
      </c>
      <c r="AF23">
        <v>176.1</v>
      </c>
      <c r="AG23">
        <v>161.6</v>
      </c>
      <c r="AH23">
        <v>166.3</v>
      </c>
      <c r="AI23">
        <v>171.4</v>
      </c>
      <c r="AJ23">
        <v>169.7</v>
      </c>
      <c r="AK23">
        <v>168.4</v>
      </c>
      <c r="AL23">
        <v>173.4</v>
      </c>
    </row>
    <row r="24" spans="1:38" x14ac:dyDescent="0.25">
      <c r="A24" s="6">
        <v>45526</v>
      </c>
      <c r="B24" s="7">
        <v>104567.31614182114</v>
      </c>
      <c r="C24">
        <v>120976</v>
      </c>
      <c r="D24" s="8">
        <v>97.404465428571427</v>
      </c>
      <c r="E24" s="7">
        <v>13107.363864410439</v>
      </c>
      <c r="F24" s="7">
        <v>13282.263864410439</v>
      </c>
      <c r="I24" t="s">
        <v>34</v>
      </c>
      <c r="J24">
        <v>2022</v>
      </c>
      <c r="K24" t="s">
        <v>41</v>
      </c>
      <c r="L24">
        <v>160.30000000000001</v>
      </c>
      <c r="M24">
        <v>206.5</v>
      </c>
      <c r="N24">
        <v>169.2</v>
      </c>
      <c r="O24">
        <v>168.1</v>
      </c>
      <c r="P24">
        <v>192.4</v>
      </c>
      <c r="Q24">
        <v>172.9</v>
      </c>
      <c r="R24">
        <v>186.7</v>
      </c>
      <c r="S24">
        <v>167.2</v>
      </c>
      <c r="T24">
        <v>120.9</v>
      </c>
      <c r="U24">
        <v>193.6</v>
      </c>
      <c r="V24">
        <v>168.8</v>
      </c>
      <c r="W24">
        <v>186.3</v>
      </c>
      <c r="X24">
        <v>176.3</v>
      </c>
      <c r="Y24">
        <v>195</v>
      </c>
      <c r="Z24">
        <v>179.5</v>
      </c>
      <c r="AA24">
        <v>172.7</v>
      </c>
      <c r="AB24">
        <v>178.5</v>
      </c>
      <c r="AC24">
        <v>169</v>
      </c>
      <c r="AD24">
        <v>178.8</v>
      </c>
      <c r="AE24">
        <v>168.5</v>
      </c>
      <c r="AF24">
        <v>176.8</v>
      </c>
      <c r="AG24">
        <v>161.9</v>
      </c>
      <c r="AH24">
        <v>166.9</v>
      </c>
      <c r="AI24">
        <v>172.3</v>
      </c>
      <c r="AJ24">
        <v>171.2</v>
      </c>
      <c r="AK24">
        <v>169.1</v>
      </c>
      <c r="AL24">
        <v>174.3</v>
      </c>
    </row>
    <row r="25" spans="1:38" x14ac:dyDescent="0.25">
      <c r="A25" s="6">
        <v>45557</v>
      </c>
      <c r="B25" s="7">
        <v>95157.741525290738</v>
      </c>
      <c r="C25">
        <v>110016</v>
      </c>
      <c r="D25" s="8">
        <v>90.706344809523813</v>
      </c>
      <c r="E25" s="7">
        <v>11827.3068625909</v>
      </c>
      <c r="F25" s="7">
        <v>12021.606862590899</v>
      </c>
      <c r="I25" t="s">
        <v>34</v>
      </c>
      <c r="J25">
        <v>2022</v>
      </c>
      <c r="K25" t="s">
        <v>42</v>
      </c>
      <c r="L25">
        <v>163.5</v>
      </c>
      <c r="M25">
        <v>209.2</v>
      </c>
      <c r="N25">
        <v>169.7</v>
      </c>
      <c r="O25">
        <v>169.7</v>
      </c>
      <c r="P25">
        <v>188.7</v>
      </c>
      <c r="Q25">
        <v>165.7</v>
      </c>
      <c r="R25">
        <v>191.8</v>
      </c>
      <c r="S25">
        <v>169.1</v>
      </c>
      <c r="T25">
        <v>121.6</v>
      </c>
      <c r="U25">
        <v>197.3</v>
      </c>
      <c r="V25">
        <v>169.4</v>
      </c>
      <c r="W25">
        <v>187.4</v>
      </c>
      <c r="X25">
        <v>177.8</v>
      </c>
      <c r="Y25">
        <v>195.9</v>
      </c>
      <c r="Z25">
        <v>180.9</v>
      </c>
      <c r="AA25">
        <v>174.3</v>
      </c>
      <c r="AB25">
        <v>179.9</v>
      </c>
      <c r="AC25">
        <v>169.5</v>
      </c>
      <c r="AD25">
        <v>179.5</v>
      </c>
      <c r="AE25">
        <v>169.5</v>
      </c>
      <c r="AF25">
        <v>177.8</v>
      </c>
      <c r="AG25">
        <v>162.30000000000001</v>
      </c>
      <c r="AH25">
        <v>167.6</v>
      </c>
      <c r="AI25">
        <v>173.1</v>
      </c>
      <c r="AJ25">
        <v>170.9</v>
      </c>
      <c r="AK25">
        <v>169.7</v>
      </c>
      <c r="AL25">
        <v>175.3</v>
      </c>
    </row>
    <row r="26" spans="1:38" x14ac:dyDescent="0.25">
      <c r="A26" s="6">
        <v>45587</v>
      </c>
      <c r="B26" s="7">
        <v>99194.385511237808</v>
      </c>
      <c r="C26">
        <v>116548</v>
      </c>
      <c r="D26" s="8">
        <v>91.698948700000003</v>
      </c>
      <c r="E26" s="7">
        <v>12086.554987723201</v>
      </c>
      <c r="F26" s="7">
        <v>12263.654987723201</v>
      </c>
      <c r="I26" t="s">
        <v>34</v>
      </c>
      <c r="J26">
        <v>2022</v>
      </c>
      <c r="K26" t="s">
        <v>43</v>
      </c>
      <c r="L26">
        <v>165.2</v>
      </c>
      <c r="M26">
        <v>210.9</v>
      </c>
      <c r="N26">
        <v>170.9</v>
      </c>
      <c r="O26">
        <v>170.9</v>
      </c>
      <c r="P26">
        <v>186.5</v>
      </c>
      <c r="Q26">
        <v>163.80000000000001</v>
      </c>
      <c r="R26">
        <v>199.7</v>
      </c>
      <c r="S26">
        <v>169.8</v>
      </c>
      <c r="T26">
        <v>121.9</v>
      </c>
      <c r="U26">
        <v>199.9</v>
      </c>
      <c r="V26">
        <v>169.9</v>
      </c>
      <c r="W26">
        <v>188.3</v>
      </c>
      <c r="X26">
        <v>179.6</v>
      </c>
      <c r="Y26">
        <v>196.3</v>
      </c>
      <c r="Z26">
        <v>181.9</v>
      </c>
      <c r="AA26">
        <v>175.3</v>
      </c>
      <c r="AB26">
        <v>181</v>
      </c>
      <c r="AC26">
        <v>171.2</v>
      </c>
      <c r="AD26">
        <v>180.5</v>
      </c>
      <c r="AE26">
        <v>170.4</v>
      </c>
      <c r="AF26">
        <v>178.7</v>
      </c>
      <c r="AG26">
        <v>162.9</v>
      </c>
      <c r="AH26">
        <v>168.2</v>
      </c>
      <c r="AI26">
        <v>173.4</v>
      </c>
      <c r="AJ26">
        <v>172.1</v>
      </c>
      <c r="AK26">
        <v>170.5</v>
      </c>
      <c r="AL26">
        <v>176.7</v>
      </c>
    </row>
    <row r="27" spans="1:38" x14ac:dyDescent="0.25">
      <c r="A27" s="6">
        <v>45618</v>
      </c>
      <c r="B27" s="7">
        <v>100258.75918442282</v>
      </c>
      <c r="C27">
        <v>118277</v>
      </c>
      <c r="D27" s="8">
        <v>87.552266068181822</v>
      </c>
      <c r="E27" s="7">
        <v>12252.886624445022</v>
      </c>
      <c r="F27" s="7">
        <v>12422.786624445022</v>
      </c>
      <c r="I27" t="s">
        <v>34</v>
      </c>
      <c r="J27">
        <v>2022</v>
      </c>
      <c r="K27" t="s">
        <v>45</v>
      </c>
      <c r="L27">
        <v>167.4</v>
      </c>
      <c r="M27">
        <v>209.4</v>
      </c>
      <c r="N27">
        <v>181.4</v>
      </c>
      <c r="O27">
        <v>172.3</v>
      </c>
      <c r="P27">
        <v>188.9</v>
      </c>
      <c r="Q27">
        <v>160.69999999999999</v>
      </c>
      <c r="R27">
        <v>183.1</v>
      </c>
      <c r="S27">
        <v>170.5</v>
      </c>
      <c r="T27">
        <v>122.1</v>
      </c>
      <c r="U27">
        <v>202.8</v>
      </c>
      <c r="V27">
        <v>170.4</v>
      </c>
      <c r="W27">
        <v>189.5</v>
      </c>
      <c r="X27">
        <v>178.3</v>
      </c>
      <c r="Y27">
        <v>196.9</v>
      </c>
      <c r="Z27">
        <v>183.1</v>
      </c>
      <c r="AA27">
        <v>176.2</v>
      </c>
      <c r="AB27">
        <v>182.1</v>
      </c>
      <c r="AC27">
        <v>171.8</v>
      </c>
      <c r="AD27">
        <v>181.3</v>
      </c>
      <c r="AE27">
        <v>171.4</v>
      </c>
      <c r="AF27">
        <v>179.8</v>
      </c>
      <c r="AG27">
        <v>163</v>
      </c>
      <c r="AH27">
        <v>168.5</v>
      </c>
      <c r="AI27">
        <v>173.7</v>
      </c>
      <c r="AJ27">
        <v>173.6</v>
      </c>
      <c r="AK27">
        <v>171.1</v>
      </c>
      <c r="AL27">
        <v>176.5</v>
      </c>
    </row>
    <row r="28" spans="1:38" x14ac:dyDescent="0.25">
      <c r="A28" s="6">
        <v>45648</v>
      </c>
      <c r="B28" s="7">
        <v>94253.237400611397</v>
      </c>
      <c r="C28">
        <v>112095</v>
      </c>
      <c r="D28" s="8">
        <v>78.100942275000008</v>
      </c>
      <c r="E28" s="7">
        <v>11445.029806847097</v>
      </c>
      <c r="F28" s="7">
        <v>11621.029806847097</v>
      </c>
      <c r="I28" t="s">
        <v>34</v>
      </c>
      <c r="J28">
        <v>2022</v>
      </c>
      <c r="K28" t="s">
        <v>46</v>
      </c>
      <c r="L28">
        <v>169.2</v>
      </c>
      <c r="M28">
        <v>209</v>
      </c>
      <c r="N28">
        <v>190.2</v>
      </c>
      <c r="O28">
        <v>173.6</v>
      </c>
      <c r="P28">
        <v>188.5</v>
      </c>
      <c r="Q28">
        <v>158</v>
      </c>
      <c r="R28">
        <v>159.9</v>
      </c>
      <c r="S28">
        <v>170.8</v>
      </c>
      <c r="T28">
        <v>121.8</v>
      </c>
      <c r="U28">
        <v>205.2</v>
      </c>
      <c r="V28">
        <v>171</v>
      </c>
      <c r="W28">
        <v>190.3</v>
      </c>
      <c r="X28">
        <v>175.9</v>
      </c>
      <c r="Y28">
        <v>197.3</v>
      </c>
      <c r="Z28">
        <v>184</v>
      </c>
      <c r="AA28">
        <v>177</v>
      </c>
      <c r="AB28">
        <v>183</v>
      </c>
      <c r="AC28">
        <v>170.7</v>
      </c>
      <c r="AD28">
        <v>182</v>
      </c>
      <c r="AE28">
        <v>172.1</v>
      </c>
      <c r="AF28">
        <v>181.1</v>
      </c>
      <c r="AG28">
        <v>163.4</v>
      </c>
      <c r="AH28">
        <v>168.9</v>
      </c>
      <c r="AI28">
        <v>174.1</v>
      </c>
      <c r="AJ28">
        <v>175.8</v>
      </c>
      <c r="AK28">
        <v>172</v>
      </c>
      <c r="AL28">
        <v>175.7</v>
      </c>
    </row>
    <row r="29" spans="1:38" x14ac:dyDescent="0.25">
      <c r="I29" s="9"/>
      <c r="K29" s="1" t="s">
        <v>84</v>
      </c>
      <c r="L29">
        <f>CORREL(L5:L28,$B$5:$B$28)</f>
        <v>0.63088997235416833</v>
      </c>
      <c r="M29">
        <f>CORREL(M5:M28,$B$5:$B$28)</f>
        <v>0.82753719540868953</v>
      </c>
      <c r="N29">
        <f>CORREL(N5:N28,$B$5:$B$28)</f>
        <v>-0.14639742208981818</v>
      </c>
      <c r="O29">
        <f>CORREL(O5:O28,$B$5:$B$28)</f>
        <v>0.74329009060698747</v>
      </c>
      <c r="P29">
        <f>CORREL(P5:P28,$B$5:$B$28)</f>
        <v>0.78723545571256881</v>
      </c>
      <c r="Q29">
        <f t="shared" ref="Q29:AL29" si="0">CORREL(Q5:Q28,$B$5:$B$28)</f>
        <v>0.6347252186892316</v>
      </c>
      <c r="R29">
        <f t="shared" si="0"/>
        <v>0.37754361153438942</v>
      </c>
      <c r="S29">
        <f t="shared" si="0"/>
        <v>0.43414807898817631</v>
      </c>
      <c r="T29">
        <f t="shared" si="0"/>
        <v>0.61171682532713556</v>
      </c>
      <c r="U29">
        <f t="shared" si="0"/>
        <v>0.70393740002024474</v>
      </c>
      <c r="V29">
        <f t="shared" si="0"/>
        <v>0.79646189692557234</v>
      </c>
      <c r="W29">
        <f t="shared" si="0"/>
        <v>0.79948061402095216</v>
      </c>
      <c r="X29">
        <f t="shared" si="0"/>
        <v>0.78995192224178934</v>
      </c>
      <c r="Y29">
        <f t="shared" si="0"/>
        <v>0.733903734187763</v>
      </c>
      <c r="Z29">
        <f t="shared" si="0"/>
        <v>0.81629566264468512</v>
      </c>
      <c r="AA29">
        <f t="shared" si="0"/>
        <v>0.82781491600452695</v>
      </c>
      <c r="AB29">
        <f t="shared" si="0"/>
        <v>0.81837410204690808</v>
      </c>
      <c r="AC29">
        <f t="shared" si="0"/>
        <v>0.78063058029432209</v>
      </c>
      <c r="AD29">
        <f t="shared" si="0"/>
        <v>0.81418628660616954</v>
      </c>
      <c r="AE29">
        <f t="shared" si="0"/>
        <v>0.80716233870322718</v>
      </c>
      <c r="AF29">
        <f t="shared" si="0"/>
        <v>0.80102875734726775</v>
      </c>
      <c r="AG29">
        <f t="shared" si="0"/>
        <v>0.85771119656863803</v>
      </c>
      <c r="AH29">
        <f t="shared" si="0"/>
        <v>0.85038830413771771</v>
      </c>
      <c r="AI29">
        <f t="shared" si="0"/>
        <v>0.74569728218230924</v>
      </c>
      <c r="AJ29">
        <f t="shared" si="0"/>
        <v>0.82220073027995932</v>
      </c>
      <c r="AK29">
        <f t="shared" si="0"/>
        <v>0.83242811550906193</v>
      </c>
      <c r="AL29">
        <f t="shared" si="0"/>
        <v>0.81506535749282327</v>
      </c>
    </row>
    <row r="30" spans="1:38" x14ac:dyDescent="0.25">
      <c r="K30" s="1" t="s">
        <v>85</v>
      </c>
      <c r="L30">
        <f>CORREL(L5:L28,$C$5:$C$28)</f>
        <v>0.62566397063783818</v>
      </c>
      <c r="M30">
        <f t="shared" ref="M30:AL30" si="1">CORREL(M5:M28,$C$5:$C$28)</f>
        <v>0.82089840720495966</v>
      </c>
      <c r="N30">
        <f t="shared" si="1"/>
        <v>-0.13982687696448276</v>
      </c>
      <c r="O30">
        <f t="shared" si="1"/>
        <v>0.74098829296939528</v>
      </c>
      <c r="P30">
        <f t="shared" si="1"/>
        <v>0.79325739767868586</v>
      </c>
      <c r="Q30">
        <f t="shared" si="1"/>
        <v>0.60338890600947237</v>
      </c>
      <c r="R30">
        <f t="shared" si="1"/>
        <v>0.39035443114906321</v>
      </c>
      <c r="S30">
        <f t="shared" si="1"/>
        <v>0.43014413892069292</v>
      </c>
      <c r="T30">
        <f t="shared" si="1"/>
        <v>0.63090017199300286</v>
      </c>
      <c r="U30">
        <f t="shared" si="1"/>
        <v>0.69600111404273524</v>
      </c>
      <c r="V30">
        <f t="shared" si="1"/>
        <v>0.7997132194455604</v>
      </c>
      <c r="W30">
        <f t="shared" si="1"/>
        <v>0.79728219617820528</v>
      </c>
      <c r="X30">
        <f t="shared" si="1"/>
        <v>0.78972704297510465</v>
      </c>
      <c r="Y30">
        <f t="shared" si="1"/>
        <v>0.73666275628725719</v>
      </c>
      <c r="Z30">
        <f t="shared" si="1"/>
        <v>0.81371769490548262</v>
      </c>
      <c r="AA30">
        <f t="shared" si="1"/>
        <v>0.82441195503144782</v>
      </c>
      <c r="AB30">
        <f t="shared" si="1"/>
        <v>0.81562775910661578</v>
      </c>
      <c r="AC30">
        <f t="shared" si="1"/>
        <v>0.77965208842248479</v>
      </c>
      <c r="AD30">
        <f t="shared" si="1"/>
        <v>0.81072897349103723</v>
      </c>
      <c r="AE30">
        <f t="shared" si="1"/>
        <v>0.80617072222577102</v>
      </c>
      <c r="AF30">
        <f t="shared" si="1"/>
        <v>0.80204643724723756</v>
      </c>
      <c r="AG30">
        <f t="shared" si="1"/>
        <v>0.86257711339658527</v>
      </c>
      <c r="AH30">
        <f t="shared" si="1"/>
        <v>0.85009628569476692</v>
      </c>
      <c r="AI30">
        <f t="shared" si="1"/>
        <v>0.74215075698574984</v>
      </c>
      <c r="AJ30">
        <f t="shared" si="1"/>
        <v>0.82041802003829001</v>
      </c>
      <c r="AK30">
        <f t="shared" si="1"/>
        <v>0.8332672088780031</v>
      </c>
      <c r="AL30">
        <f t="shared" si="1"/>
        <v>0.81458090179051079</v>
      </c>
    </row>
    <row r="31" spans="1:38" x14ac:dyDescent="0.25">
      <c r="I31" s="9"/>
      <c r="K31" s="1" t="s">
        <v>86</v>
      </c>
      <c r="L31">
        <f>CORREL(L5:L28,$D$5:$D$28)</f>
        <v>0.50782673928104072</v>
      </c>
      <c r="M31">
        <f t="shared" ref="M31:AL31" si="2">CORREL(M5:M28,$D$5:$D$28)</f>
        <v>0.84191192019168415</v>
      </c>
      <c r="N31">
        <f t="shared" si="2"/>
        <v>-0.2036224701816976</v>
      </c>
      <c r="O31">
        <f t="shared" si="2"/>
        <v>0.63436438765675618</v>
      </c>
      <c r="P31">
        <f t="shared" si="2"/>
        <v>0.82620259475660895</v>
      </c>
      <c r="Q31">
        <f t="shared" si="2"/>
        <v>0.59139323105135344</v>
      </c>
      <c r="R31">
        <f t="shared" si="2"/>
        <v>0.35074653398470973</v>
      </c>
      <c r="S31">
        <f t="shared" si="2"/>
        <v>0.36427003644529937</v>
      </c>
      <c r="T31">
        <f t="shared" si="2"/>
        <v>0.56709729181669644</v>
      </c>
      <c r="U31">
        <f t="shared" si="2"/>
        <v>0.59053727341757856</v>
      </c>
      <c r="V31">
        <f t="shared" si="2"/>
        <v>0.75260403886846317</v>
      </c>
      <c r="W31">
        <f t="shared" si="2"/>
        <v>0.71816936627720163</v>
      </c>
      <c r="X31">
        <f t="shared" si="2"/>
        <v>0.71771593094288821</v>
      </c>
      <c r="Y31">
        <f t="shared" si="2"/>
        <v>0.68867161411370348</v>
      </c>
      <c r="Z31">
        <f t="shared" si="2"/>
        <v>0.73718735666666269</v>
      </c>
      <c r="AA31">
        <f t="shared" si="2"/>
        <v>0.74869562674882939</v>
      </c>
      <c r="AB31">
        <f t="shared" si="2"/>
        <v>0.7393580301817575</v>
      </c>
      <c r="AC31">
        <f t="shared" si="2"/>
        <v>0.69787802521406628</v>
      </c>
      <c r="AD31">
        <f t="shared" si="2"/>
        <v>0.73695384515053841</v>
      </c>
      <c r="AE31">
        <f t="shared" si="2"/>
        <v>0.73037374022525769</v>
      </c>
      <c r="AF31">
        <f t="shared" si="2"/>
        <v>0.73881995293995806</v>
      </c>
      <c r="AG31">
        <f t="shared" si="2"/>
        <v>0.81520166268737893</v>
      </c>
      <c r="AH31">
        <f t="shared" si="2"/>
        <v>0.78563045522865071</v>
      </c>
      <c r="AI31">
        <f t="shared" si="2"/>
        <v>0.65313864265722477</v>
      </c>
      <c r="AJ31">
        <f t="shared" si="2"/>
        <v>0.73372084561697026</v>
      </c>
      <c r="AK31">
        <f t="shared" si="2"/>
        <v>0.76560004102965407</v>
      </c>
      <c r="AL31">
        <f t="shared" si="2"/>
        <v>0.74098995346190499</v>
      </c>
    </row>
    <row r="32" spans="1:38" x14ac:dyDescent="0.25">
      <c r="K32" s="1" t="s">
        <v>87</v>
      </c>
      <c r="L32">
        <f>CORREL(L5:L28,$E$5:$E$28)</f>
        <v>0.5423166437173399</v>
      </c>
      <c r="M32">
        <f t="shared" ref="M32:AL32" si="3">CORREL(M5:M28,$E$5:$E$28)</f>
        <v>0.80678823670018274</v>
      </c>
      <c r="N32">
        <f t="shared" si="3"/>
        <v>-0.1947487224906882</v>
      </c>
      <c r="O32">
        <f t="shared" si="3"/>
        <v>0.66674237415530457</v>
      </c>
      <c r="P32">
        <f t="shared" si="3"/>
        <v>0.79080232939044837</v>
      </c>
      <c r="Q32">
        <f t="shared" si="3"/>
        <v>0.62056716411790092</v>
      </c>
      <c r="R32">
        <f t="shared" si="3"/>
        <v>0.34689904543035721</v>
      </c>
      <c r="S32">
        <f t="shared" si="3"/>
        <v>0.35562629067948842</v>
      </c>
      <c r="T32">
        <f t="shared" si="3"/>
        <v>0.57693889146970256</v>
      </c>
      <c r="U32">
        <f t="shared" si="3"/>
        <v>0.62072211887215722</v>
      </c>
      <c r="V32">
        <f t="shared" si="3"/>
        <v>0.74494062947658435</v>
      </c>
      <c r="W32">
        <f t="shared" si="3"/>
        <v>0.7333274296642136</v>
      </c>
      <c r="X32">
        <f t="shared" si="3"/>
        <v>0.72767202760513139</v>
      </c>
      <c r="Y32">
        <f t="shared" si="3"/>
        <v>0.67518222917500637</v>
      </c>
      <c r="Z32">
        <f t="shared" si="3"/>
        <v>0.75340382305569176</v>
      </c>
      <c r="AA32">
        <f t="shared" si="3"/>
        <v>0.76519886346317456</v>
      </c>
      <c r="AB32">
        <f t="shared" si="3"/>
        <v>0.75545121042032781</v>
      </c>
      <c r="AC32">
        <f t="shared" si="3"/>
        <v>0.71398385201460413</v>
      </c>
      <c r="AD32">
        <f t="shared" si="3"/>
        <v>0.75098147120515713</v>
      </c>
      <c r="AE32">
        <f t="shared" si="3"/>
        <v>0.74440651476538511</v>
      </c>
      <c r="AF32">
        <f t="shared" si="3"/>
        <v>0.74319375559349876</v>
      </c>
      <c r="AG32">
        <f t="shared" si="3"/>
        <v>0.81733692066269026</v>
      </c>
      <c r="AH32">
        <f t="shared" si="3"/>
        <v>0.79820547531044184</v>
      </c>
      <c r="AI32">
        <f t="shared" si="3"/>
        <v>0.6702698048140362</v>
      </c>
      <c r="AJ32">
        <f t="shared" si="3"/>
        <v>0.76034982390762229</v>
      </c>
      <c r="AK32">
        <f t="shared" si="3"/>
        <v>0.77627362728304694</v>
      </c>
      <c r="AL32">
        <f t="shared" si="3"/>
        <v>0.75326517148172878</v>
      </c>
    </row>
    <row r="33" spans="11:38" x14ac:dyDescent="0.25">
      <c r="K33" s="1" t="s">
        <v>88</v>
      </c>
      <c r="L33">
        <f>CORREL(L5:L28,$F$5:$F$28)</f>
        <v>0.35332752045261651</v>
      </c>
      <c r="M33">
        <f t="shared" ref="M33:AF33" si="4">CORREL(M5:M28,$F$5:$F$28)</f>
        <v>0.7128467526089175</v>
      </c>
      <c r="N33">
        <f t="shared" si="4"/>
        <v>-0.21705552296021741</v>
      </c>
      <c r="O33">
        <f t="shared" si="4"/>
        <v>0.4994637565522328</v>
      </c>
      <c r="P33">
        <f t="shared" si="4"/>
        <v>0.78167042955884158</v>
      </c>
      <c r="Q33">
        <f t="shared" si="4"/>
        <v>0.45051019401191239</v>
      </c>
      <c r="R33">
        <f t="shared" si="4"/>
        <v>0.32263430824735873</v>
      </c>
      <c r="S33">
        <f t="shared" si="4"/>
        <v>0.21264006297414376</v>
      </c>
      <c r="T33">
        <f t="shared" si="4"/>
        <v>0.56104530976501565</v>
      </c>
      <c r="U33">
        <f t="shared" si="4"/>
        <v>0.42654296102870148</v>
      </c>
      <c r="V33">
        <f t="shared" si="4"/>
        <v>0.64623209843410623</v>
      </c>
      <c r="W33">
        <f t="shared" si="4"/>
        <v>0.5889230978518043</v>
      </c>
      <c r="X33">
        <f t="shared" si="4"/>
        <v>0.59064433120860593</v>
      </c>
      <c r="Y33">
        <f t="shared" si="4"/>
        <v>0.56565586709261173</v>
      </c>
      <c r="Z33">
        <f t="shared" si="4"/>
        <v>0.61527251039655906</v>
      </c>
      <c r="AA33">
        <f t="shared" si="4"/>
        <v>0.62305773449244151</v>
      </c>
      <c r="AB33">
        <f t="shared" si="4"/>
        <v>0.6165848396333472</v>
      </c>
      <c r="AC33">
        <f t="shared" si="4"/>
        <v>0.569861659670162</v>
      </c>
      <c r="AD33">
        <f t="shared" si="4"/>
        <v>0.59886636892463441</v>
      </c>
      <c r="AE33">
        <f t="shared" si="4"/>
        <v>0.61185918969432729</v>
      </c>
      <c r="AF33">
        <f t="shared" si="4"/>
        <v>0.62670790454344427</v>
      </c>
    </row>
    <row r="39" spans="11:38" x14ac:dyDescent="0.25">
      <c r="L39" t="s">
        <v>3</v>
      </c>
      <c r="M39" t="s">
        <v>4</v>
      </c>
      <c r="N39" t="s">
        <v>5</v>
      </c>
      <c r="O39" t="s">
        <v>6</v>
      </c>
      <c r="P39" t="s">
        <v>7</v>
      </c>
      <c r="Q39" t="s">
        <v>8</v>
      </c>
      <c r="R39" t="s">
        <v>9</v>
      </c>
      <c r="S39" t="s">
        <v>10</v>
      </c>
      <c r="T39" t="s">
        <v>11</v>
      </c>
      <c r="U39" t="s">
        <v>12</v>
      </c>
      <c r="V39" t="s">
        <v>13</v>
      </c>
      <c r="W39" t="s">
        <v>14</v>
      </c>
      <c r="X39" t="s">
        <v>15</v>
      </c>
      <c r="Y39" t="s">
        <v>16</v>
      </c>
      <c r="Z39" t="s">
        <v>17</v>
      </c>
      <c r="AA39" t="s">
        <v>18</v>
      </c>
      <c r="AB39" t="s">
        <v>19</v>
      </c>
      <c r="AC39" t="s">
        <v>20</v>
      </c>
      <c r="AD39" t="s">
        <v>21</v>
      </c>
      <c r="AE39" t="s">
        <v>22</v>
      </c>
      <c r="AF39" t="s">
        <v>23</v>
      </c>
      <c r="AG39" t="s">
        <v>24</v>
      </c>
      <c r="AH39" t="s">
        <v>25</v>
      </c>
      <c r="AI39" t="s">
        <v>26</v>
      </c>
      <c r="AJ39" t="s">
        <v>27</v>
      </c>
      <c r="AK39" t="s">
        <v>28</v>
      </c>
      <c r="AL39" t="s">
        <v>29</v>
      </c>
    </row>
    <row r="40" spans="11:38" x14ac:dyDescent="0.25">
      <c r="K40" t="s">
        <v>84</v>
      </c>
      <c r="L40">
        <v>0.63088997235416833</v>
      </c>
      <c r="M40">
        <v>0.82753719540868953</v>
      </c>
      <c r="N40">
        <v>-0.14639742208981818</v>
      </c>
      <c r="O40">
        <v>0.74329009060698747</v>
      </c>
      <c r="P40">
        <v>0.78723545571256881</v>
      </c>
      <c r="Q40">
        <v>0.6347252186892316</v>
      </c>
      <c r="R40">
        <v>0.37754361153438942</v>
      </c>
      <c r="S40">
        <v>0.43414807898817631</v>
      </c>
      <c r="T40">
        <v>0.61171682532713556</v>
      </c>
      <c r="U40">
        <v>0.70393740002024474</v>
      </c>
      <c r="V40">
        <v>0.79646189692557234</v>
      </c>
      <c r="W40">
        <v>0.79948061402095216</v>
      </c>
      <c r="X40">
        <v>0.78995192224178934</v>
      </c>
      <c r="Y40">
        <v>0.733903734187763</v>
      </c>
      <c r="Z40">
        <v>0.81629566264468512</v>
      </c>
      <c r="AA40">
        <v>0.82781491600452695</v>
      </c>
      <c r="AB40">
        <v>0.81837410204690808</v>
      </c>
      <c r="AC40">
        <v>0.78063058029432209</v>
      </c>
      <c r="AD40">
        <v>0.81418628660616954</v>
      </c>
      <c r="AE40">
        <v>0.80716233870322718</v>
      </c>
      <c r="AF40">
        <v>0.80102875734726775</v>
      </c>
      <c r="AG40">
        <v>0.85771119656863803</v>
      </c>
      <c r="AH40">
        <v>0.85038830413771771</v>
      </c>
      <c r="AI40">
        <v>0.74569728218230924</v>
      </c>
      <c r="AJ40">
        <v>0.82220073027995932</v>
      </c>
      <c r="AK40">
        <v>0.83242811550906193</v>
      </c>
      <c r="AL40">
        <v>0.81506535749282327</v>
      </c>
    </row>
    <row r="41" spans="11:38" x14ac:dyDescent="0.25">
      <c r="K41" t="s">
        <v>85</v>
      </c>
      <c r="L41">
        <v>0.62566397063783818</v>
      </c>
      <c r="M41">
        <v>0.82089840720495966</v>
      </c>
      <c r="N41">
        <v>-0.13982687696448276</v>
      </c>
      <c r="O41">
        <v>0.74098829296939528</v>
      </c>
      <c r="P41">
        <v>0.79325739767868586</v>
      </c>
      <c r="Q41">
        <v>0.60338890600947237</v>
      </c>
      <c r="R41">
        <v>0.39035443114906321</v>
      </c>
      <c r="S41">
        <v>0.43014413892069292</v>
      </c>
      <c r="T41">
        <v>0.63090017199300286</v>
      </c>
      <c r="U41">
        <v>0.69600111404273524</v>
      </c>
      <c r="V41">
        <v>0.7997132194455604</v>
      </c>
      <c r="W41">
        <v>0.79728219617820528</v>
      </c>
      <c r="X41">
        <v>0.78972704297510465</v>
      </c>
      <c r="Y41">
        <v>0.73666275628725719</v>
      </c>
      <c r="Z41">
        <v>0.81371769490548262</v>
      </c>
      <c r="AA41">
        <v>0.82441195503144782</v>
      </c>
      <c r="AB41">
        <v>0.81562775910661578</v>
      </c>
      <c r="AC41">
        <v>0.77965208842248479</v>
      </c>
      <c r="AD41">
        <v>0.81072897349103723</v>
      </c>
      <c r="AE41">
        <v>0.80617072222577102</v>
      </c>
      <c r="AF41">
        <v>0.80204643724723756</v>
      </c>
      <c r="AG41">
        <v>0.86257711339658527</v>
      </c>
      <c r="AH41">
        <v>0.85009628569476692</v>
      </c>
      <c r="AI41">
        <v>0.74215075698574984</v>
      </c>
      <c r="AJ41">
        <v>0.82041802003829001</v>
      </c>
      <c r="AK41">
        <v>0.8332672088780031</v>
      </c>
      <c r="AL41">
        <v>0.81458090179051079</v>
      </c>
    </row>
    <row r="42" spans="11:38" x14ac:dyDescent="0.25">
      <c r="K42" t="s">
        <v>86</v>
      </c>
      <c r="L42">
        <v>0.50782673928104072</v>
      </c>
      <c r="M42">
        <v>0.84191192019168415</v>
      </c>
      <c r="N42">
        <v>-0.2036224701816976</v>
      </c>
      <c r="O42">
        <v>0.63436438765675618</v>
      </c>
      <c r="P42">
        <v>0.82620259475660895</v>
      </c>
      <c r="Q42">
        <v>0.59139323105135344</v>
      </c>
      <c r="R42">
        <v>0.35074653398470973</v>
      </c>
      <c r="S42">
        <v>0.36427003644529937</v>
      </c>
      <c r="T42">
        <v>0.56709729181669644</v>
      </c>
      <c r="U42">
        <v>0.59053727341757856</v>
      </c>
      <c r="V42">
        <v>0.75260403886846317</v>
      </c>
      <c r="W42">
        <v>0.71816936627720163</v>
      </c>
      <c r="X42">
        <v>0.71771593094288821</v>
      </c>
      <c r="Y42">
        <v>0.68867161411370348</v>
      </c>
      <c r="Z42">
        <v>0.73718735666666269</v>
      </c>
      <c r="AA42">
        <v>0.74869562674882939</v>
      </c>
      <c r="AB42">
        <v>0.7393580301817575</v>
      </c>
      <c r="AC42">
        <v>0.69787802521406628</v>
      </c>
      <c r="AD42">
        <v>0.73695384515053841</v>
      </c>
      <c r="AE42">
        <v>0.73037374022525769</v>
      </c>
      <c r="AF42">
        <v>0.73881995293995806</v>
      </c>
      <c r="AG42">
        <v>0.81520166268737893</v>
      </c>
      <c r="AH42">
        <v>0.78563045522865071</v>
      </c>
      <c r="AI42">
        <v>0.65313864265722477</v>
      </c>
      <c r="AJ42">
        <v>0.73372084561697026</v>
      </c>
      <c r="AK42">
        <v>0.76560004102965407</v>
      </c>
      <c r="AL42">
        <v>0.74098995346190499</v>
      </c>
    </row>
    <row r="43" spans="11:38" x14ac:dyDescent="0.25">
      <c r="K43" t="s">
        <v>87</v>
      </c>
      <c r="L43">
        <v>0.5423166437173399</v>
      </c>
      <c r="M43">
        <v>0.80678823670018274</v>
      </c>
      <c r="N43">
        <v>-0.1947487224906882</v>
      </c>
      <c r="O43">
        <v>0.66674237415530457</v>
      </c>
      <c r="P43">
        <v>0.79080232939044837</v>
      </c>
      <c r="Q43">
        <v>0.62056716411790092</v>
      </c>
      <c r="R43">
        <v>0.34689904543035721</v>
      </c>
      <c r="S43">
        <v>0.35562629067948842</v>
      </c>
      <c r="T43">
        <v>0.57693889146970256</v>
      </c>
      <c r="U43">
        <v>0.62072211887215722</v>
      </c>
      <c r="V43">
        <v>0.74494062947658435</v>
      </c>
      <c r="W43">
        <v>0.7333274296642136</v>
      </c>
      <c r="X43">
        <v>0.72767202760513139</v>
      </c>
      <c r="Y43">
        <v>0.67518222917500637</v>
      </c>
      <c r="Z43">
        <v>0.75340382305569176</v>
      </c>
      <c r="AA43">
        <v>0.76519886346317456</v>
      </c>
      <c r="AB43">
        <v>0.75545121042032781</v>
      </c>
      <c r="AC43">
        <v>0.71398385201460413</v>
      </c>
      <c r="AD43">
        <v>0.75098147120515713</v>
      </c>
      <c r="AE43">
        <v>0.74440651476538511</v>
      </c>
      <c r="AF43">
        <v>0.74319375559349876</v>
      </c>
      <c r="AG43">
        <v>0.81733692066269026</v>
      </c>
      <c r="AH43">
        <v>0.79820547531044184</v>
      </c>
      <c r="AI43">
        <v>0.6702698048140362</v>
      </c>
      <c r="AJ43">
        <v>0.76034982390762229</v>
      </c>
      <c r="AK43">
        <v>0.77627362728304694</v>
      </c>
      <c r="AL43">
        <v>0.75326517148172878</v>
      </c>
    </row>
    <row r="44" spans="11:38" x14ac:dyDescent="0.25">
      <c r="K44" t="s">
        <v>88</v>
      </c>
      <c r="L44">
        <v>0.35332752045261651</v>
      </c>
      <c r="M44">
        <v>0.7128467526089175</v>
      </c>
      <c r="N44">
        <v>-0.21705552296021741</v>
      </c>
      <c r="O44">
        <v>0.4994637565522328</v>
      </c>
      <c r="P44">
        <v>0.78167042955884158</v>
      </c>
      <c r="Q44">
        <v>0.45051019401191239</v>
      </c>
      <c r="R44">
        <v>0.32263430824735873</v>
      </c>
      <c r="S44">
        <v>0.21264006297414376</v>
      </c>
      <c r="T44">
        <v>0.56104530976501565</v>
      </c>
      <c r="U44">
        <v>0.42654296102870148</v>
      </c>
      <c r="V44">
        <v>0.64623209843410623</v>
      </c>
      <c r="W44">
        <v>0.5889230978518043</v>
      </c>
      <c r="X44">
        <v>0.59064433120860593</v>
      </c>
      <c r="Y44">
        <v>0.56565586709261173</v>
      </c>
      <c r="Z44">
        <v>0.61527251039655906</v>
      </c>
      <c r="AA44">
        <v>0.62305773449244151</v>
      </c>
      <c r="AB44">
        <v>0.6165848396333472</v>
      </c>
      <c r="AC44">
        <v>0.569861659670162</v>
      </c>
      <c r="AD44">
        <v>0.59886636892463441</v>
      </c>
      <c r="AE44">
        <v>0.61185918969432729</v>
      </c>
      <c r="AF44">
        <v>0.62670790454344427</v>
      </c>
    </row>
    <row r="50" spans="22:23" x14ac:dyDescent="0.25">
      <c r="V50" s="14" t="s">
        <v>112</v>
      </c>
      <c r="W50" s="14"/>
    </row>
    <row r="51" spans="22:23" x14ac:dyDescent="0.25">
      <c r="V51" s="14" t="s">
        <v>113</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32AAF-0547-4B26-A1D9-1D125E83A0F5}">
  <dimension ref="A1"/>
  <sheetViews>
    <sheetView tabSelected="1" zoomScale="86" zoomScaleNormal="86" workbookViewId="0">
      <selection sqref="A1:XFD1048576"/>
    </sheetView>
  </sheetViews>
  <sheetFormatPr defaultRowHeight="15" x14ac:dyDescent="0.25"/>
  <cols>
    <col min="1" max="2" width="9.140625" style="23" customWidth="1"/>
    <col min="3" max="16384" width="9.140625" style="23"/>
  </cols>
  <sheetData>
    <row r="1" spans="1:1" s="22" customFormat="1" x14ac:dyDescent="0.25">
      <c r="A1" s="22" t="s">
        <v>72</v>
      </c>
    </row>
  </sheetData>
  <mergeCells count="1">
    <mergeCell ref="A1:XFD104857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All_India_Index_Upto_April23  V</vt:lpstr>
      <vt:lpstr>main data</vt:lpstr>
      <vt:lpstr>analysis 1</vt:lpstr>
      <vt:lpstr>analysis 2</vt:lpstr>
      <vt:lpstr>analysis 3</vt:lpstr>
      <vt:lpstr>analysis 4</vt:lpstr>
      <vt:lpstr>analysis 5</vt:lpstr>
      <vt:lpstr>Final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garvit sharma</dc:creator>
  <cp:lastModifiedBy>HP</cp:lastModifiedBy>
  <dcterms:created xsi:type="dcterms:W3CDTF">2024-06-08T05:50:31Z</dcterms:created>
  <dcterms:modified xsi:type="dcterms:W3CDTF">2025-08-07T12:24:34Z</dcterms:modified>
</cp:coreProperties>
</file>